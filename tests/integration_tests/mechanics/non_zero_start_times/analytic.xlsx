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togj\projects\HERON\tests\integration_tests\mechanics\non_zero_start_times\"/>
    </mc:Choice>
  </mc:AlternateContent>
  <xr:revisionPtr revIDLastSave="0" documentId="13_ncr:1_{55623CD8-DB76-4866-9748-853F2473F3FE}" xr6:coauthVersionLast="47" xr6:coauthVersionMax="47" xr10:uidLastSave="{00000000-0000-0000-0000-000000000000}"/>
  <bookViews>
    <workbookView xWindow="-120" yWindow="-120" windowWidth="38640" windowHeight="21240" activeTab="3" xr2:uid="{C5D1EC3D-253D-D049-ACFA-71EC9987361D}"/>
  </bookViews>
  <sheets>
    <sheet name="SweepValue1" sheetId="1" r:id="rId1"/>
    <sheet name="SweepValue2" sheetId="2" r:id="rId2"/>
    <sheet name="ProjectCashflows" sheetId="5" r:id="rId3"/>
    <sheet name="ProjectCashflows - Depreciat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N86" i="3" l="1"/>
  <c r="CM86" i="3"/>
  <c r="CL86" i="3"/>
  <c r="CK86" i="3"/>
  <c r="CJ86" i="3"/>
  <c r="CN85" i="3"/>
  <c r="CM85" i="3"/>
  <c r="CL85" i="3"/>
  <c r="CK85" i="3"/>
  <c r="CJ85" i="3"/>
  <c r="CJ84" i="3"/>
  <c r="CI84" i="3"/>
  <c r="CN81" i="3"/>
  <c r="CM81" i="3"/>
  <c r="CL81" i="3"/>
  <c r="CK81" i="3"/>
  <c r="CJ81" i="3"/>
  <c r="CN80" i="3"/>
  <c r="CM80" i="3"/>
  <c r="CL80" i="3"/>
  <c r="CK80" i="3"/>
  <c r="CJ80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CN21" i="3"/>
  <c r="CM21" i="3"/>
  <c r="CL21" i="3"/>
  <c r="CK21" i="3"/>
  <c r="CA76" i="3" s="1"/>
  <c r="CJ21" i="3"/>
  <c r="BZ76" i="3" s="1"/>
  <c r="CI21" i="3"/>
  <c r="BY76" i="3" s="1"/>
  <c r="CH21" i="3"/>
  <c r="BX76" i="3" s="1"/>
  <c r="CG21" i="3"/>
  <c r="BW76" i="3" s="1"/>
  <c r="CF21" i="3"/>
  <c r="BV76" i="3" s="1"/>
  <c r="CE21" i="3"/>
  <c r="BU76" i="3" s="1"/>
  <c r="CD21" i="3"/>
  <c r="BT76" i="3" s="1"/>
  <c r="CC21" i="3"/>
  <c r="CB21" i="3"/>
  <c r="CA21" i="3"/>
  <c r="BZ21" i="3"/>
  <c r="BY21" i="3"/>
  <c r="BX21" i="3"/>
  <c r="BW21" i="3"/>
  <c r="BV21" i="3"/>
  <c r="BU21" i="3"/>
  <c r="BT21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CJ55" i="3"/>
  <c r="BT53" i="3"/>
  <c r="BT55" i="3" s="1"/>
  <c r="CN50" i="3"/>
  <c r="CM50" i="3"/>
  <c r="CL50" i="3"/>
  <c r="CK50" i="3"/>
  <c r="CJ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48" i="3"/>
  <c r="BT50" i="3" s="1"/>
  <c r="BB55" i="3"/>
  <c r="CI55" i="3" s="1"/>
  <c r="BF47" i="3"/>
  <c r="BE47" i="3"/>
  <c r="BD47" i="3"/>
  <c r="BC47" i="3"/>
  <c r="BB47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F19" i="3"/>
  <c r="E19" i="3"/>
  <c r="V47" i="3"/>
  <c r="W47" i="3"/>
  <c r="X47" i="3"/>
  <c r="Y47" i="3"/>
  <c r="U47" i="3"/>
  <c r="F47" i="3"/>
  <c r="G47" i="3"/>
  <c r="H47" i="3"/>
  <c r="E47" i="3"/>
  <c r="CO55" i="3" l="1"/>
  <c r="BF50" i="3" l="1"/>
  <c r="BE50" i="3"/>
  <c r="BD50" i="3"/>
  <c r="BC50" i="3"/>
  <c r="BB50" i="3"/>
  <c r="CI50" i="3" s="1"/>
  <c r="CO50" i="3" s="1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Y50" i="3"/>
  <c r="X50" i="3"/>
  <c r="W50" i="3"/>
  <c r="V50" i="3"/>
  <c r="U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D112" i="3"/>
  <c r="D124" i="3" s="1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A43" i="5"/>
  <c r="BA38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BV42" i="5"/>
  <c r="BW42" i="5"/>
  <c r="BX42" i="5"/>
  <c r="BY42" i="5"/>
  <c r="BZ42" i="5"/>
  <c r="CO42" i="5" s="1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BU42" i="5"/>
  <c r="BU37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T41" i="5"/>
  <c r="CI43" i="5" s="1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CO39" i="5" s="1"/>
  <c r="BW39" i="5"/>
  <c r="BV39" i="5"/>
  <c r="BU39" i="5"/>
  <c r="BT39" i="5"/>
  <c r="CN38" i="5"/>
  <c r="CM38" i="5"/>
  <c r="CL38" i="5"/>
  <c r="CK38" i="5"/>
  <c r="CJ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CO37" i="5"/>
  <c r="BT36" i="5"/>
  <c r="CI38" i="5" s="1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AM42" i="5"/>
  <c r="AM37" i="5"/>
  <c r="BG37" i="5" s="1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L41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BF38" i="5"/>
  <c r="BE38" i="5"/>
  <c r="BD38" i="5"/>
  <c r="BC38" i="5"/>
  <c r="BB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L36" i="5"/>
  <c r="T79" i="5"/>
  <c r="T74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F78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F73" i="5"/>
  <c r="E77" i="5"/>
  <c r="Y74" i="5"/>
  <c r="X74" i="5"/>
  <c r="W74" i="5"/>
  <c r="V74" i="5"/>
  <c r="U74" i="5"/>
  <c r="S74" i="5"/>
  <c r="R74" i="5"/>
  <c r="Q74" i="5"/>
  <c r="P74" i="5"/>
  <c r="O74" i="5"/>
  <c r="N74" i="5"/>
  <c r="L74" i="5"/>
  <c r="K74" i="5"/>
  <c r="J74" i="5"/>
  <c r="I74" i="5"/>
  <c r="H74" i="5"/>
  <c r="G74" i="5"/>
  <c r="F74" i="5"/>
  <c r="E72" i="5"/>
  <c r="E65" i="5"/>
  <c r="E60" i="5"/>
  <c r="E53" i="5"/>
  <c r="T55" i="5" s="1"/>
  <c r="E48" i="5"/>
  <c r="E41" i="5"/>
  <c r="E43" i="5" s="1"/>
  <c r="Y38" i="5"/>
  <c r="X38" i="5"/>
  <c r="W38" i="5"/>
  <c r="V38" i="5"/>
  <c r="U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6" i="5"/>
  <c r="E38" i="5" s="1"/>
  <c r="D120" i="5"/>
  <c r="D89" i="5"/>
  <c r="D101" i="5" s="1"/>
  <c r="E24" i="5"/>
  <c r="R56" i="5" s="1"/>
  <c r="R62" i="5" s="1"/>
  <c r="E19" i="5"/>
  <c r="G51" i="5" s="1"/>
  <c r="Y17" i="5"/>
  <c r="Y25" i="5" s="1"/>
  <c r="Y42" i="5" s="1"/>
  <c r="Y54" i="5" s="1"/>
  <c r="Y66" i="5" s="1"/>
  <c r="X17" i="5"/>
  <c r="X25" i="5" s="1"/>
  <c r="X42" i="5" s="1"/>
  <c r="X54" i="5" s="1"/>
  <c r="X66" i="5" s="1"/>
  <c r="W17" i="5"/>
  <c r="V17" i="5"/>
  <c r="V25" i="5" s="1"/>
  <c r="V42" i="5" s="1"/>
  <c r="V54" i="5" s="1"/>
  <c r="V66" i="5" s="1"/>
  <c r="U17" i="5"/>
  <c r="U20" i="5" s="1"/>
  <c r="U37" i="5" s="1"/>
  <c r="U49" i="5" s="1"/>
  <c r="T17" i="5"/>
  <c r="T20" i="5" s="1"/>
  <c r="T37" i="5" s="1"/>
  <c r="T49" i="5" s="1"/>
  <c r="S17" i="5"/>
  <c r="S25" i="5" s="1"/>
  <c r="S42" i="5" s="1"/>
  <c r="S54" i="5" s="1"/>
  <c r="S66" i="5" s="1"/>
  <c r="R17" i="5"/>
  <c r="R25" i="5" s="1"/>
  <c r="R42" i="5" s="1"/>
  <c r="R54" i="5" s="1"/>
  <c r="R66" i="5" s="1"/>
  <c r="Q17" i="5"/>
  <c r="Q25" i="5" s="1"/>
  <c r="Q42" i="5" s="1"/>
  <c r="Q54" i="5" s="1"/>
  <c r="Q66" i="5" s="1"/>
  <c r="P17" i="5"/>
  <c r="P25" i="5" s="1"/>
  <c r="P42" i="5" s="1"/>
  <c r="P54" i="5" s="1"/>
  <c r="P66" i="5" s="1"/>
  <c r="O17" i="5"/>
  <c r="N17" i="5"/>
  <c r="M17" i="5"/>
  <c r="M20" i="5" s="1"/>
  <c r="M37" i="5" s="1"/>
  <c r="M49" i="5" s="1"/>
  <c r="L17" i="5"/>
  <c r="L20" i="5" s="1"/>
  <c r="L37" i="5" s="1"/>
  <c r="L49" i="5" s="1"/>
  <c r="K17" i="5"/>
  <c r="K25" i="5" s="1"/>
  <c r="K42" i="5" s="1"/>
  <c r="K54" i="5" s="1"/>
  <c r="K66" i="5" s="1"/>
  <c r="J17" i="5"/>
  <c r="J25" i="5" s="1"/>
  <c r="J42" i="5" s="1"/>
  <c r="J54" i="5" s="1"/>
  <c r="J66" i="5" s="1"/>
  <c r="I17" i="5"/>
  <c r="I25" i="5" s="1"/>
  <c r="I42" i="5" s="1"/>
  <c r="I54" i="5" s="1"/>
  <c r="I66" i="5" s="1"/>
  <c r="H17" i="5"/>
  <c r="H25" i="5" s="1"/>
  <c r="H42" i="5" s="1"/>
  <c r="H54" i="5" s="1"/>
  <c r="H66" i="5" s="1"/>
  <c r="G17" i="5"/>
  <c r="F17" i="5"/>
  <c r="E17" i="5"/>
  <c r="Y16" i="5"/>
  <c r="Y21" i="5" s="1"/>
  <c r="X16" i="5"/>
  <c r="X21" i="5" s="1"/>
  <c r="W16" i="5"/>
  <c r="W21" i="5" s="1"/>
  <c r="V16" i="5"/>
  <c r="V21" i="5" s="1"/>
  <c r="U16" i="5"/>
  <c r="U21" i="5" s="1"/>
  <c r="T16" i="5"/>
  <c r="T21" i="5" s="1"/>
  <c r="S16" i="5"/>
  <c r="S21" i="5" s="1"/>
  <c r="R16" i="5"/>
  <c r="R21" i="5" s="1"/>
  <c r="Q16" i="5"/>
  <c r="Q21" i="5" s="1"/>
  <c r="P16" i="5"/>
  <c r="P21" i="5" s="1"/>
  <c r="O16" i="5"/>
  <c r="O21" i="5" s="1"/>
  <c r="N16" i="5"/>
  <c r="N21" i="5" s="1"/>
  <c r="M16" i="5"/>
  <c r="M21" i="5" s="1"/>
  <c r="L16" i="5"/>
  <c r="L21" i="5" s="1"/>
  <c r="K16" i="5"/>
  <c r="K21" i="5" s="1"/>
  <c r="J16" i="5"/>
  <c r="J21" i="5" s="1"/>
  <c r="I16" i="5"/>
  <c r="I21" i="5" s="1"/>
  <c r="H16" i="5"/>
  <c r="H21" i="5" s="1"/>
  <c r="G16" i="5"/>
  <c r="G21" i="5" s="1"/>
  <c r="F16" i="5"/>
  <c r="F21" i="5" s="1"/>
  <c r="E16" i="5"/>
  <c r="E25" i="3"/>
  <c r="CJ56" i="3" l="1"/>
  <c r="CH85" i="3"/>
  <c r="CE56" i="3"/>
  <c r="BW56" i="3"/>
  <c r="CK56" i="3"/>
  <c r="CG85" i="3"/>
  <c r="CD56" i="3"/>
  <c r="BV56" i="3"/>
  <c r="CL56" i="3"/>
  <c r="CF85" i="3"/>
  <c r="CC56" i="3"/>
  <c r="BU56" i="3"/>
  <c r="CM56" i="3"/>
  <c r="CE85" i="3"/>
  <c r="CB56" i="3"/>
  <c r="BT56" i="3"/>
  <c r="CH56" i="3"/>
  <c r="CN56" i="3"/>
  <c r="CD85" i="3"/>
  <c r="CI56" i="3"/>
  <c r="CA56" i="3"/>
  <c r="BZ56" i="3"/>
  <c r="BX56" i="3"/>
  <c r="CF56" i="3"/>
  <c r="CI85" i="3"/>
  <c r="CG56" i="3"/>
  <c r="BY56" i="3"/>
  <c r="E53" i="3"/>
  <c r="AP56" i="3"/>
  <c r="AZ56" i="3"/>
  <c r="AX56" i="3"/>
  <c r="AV56" i="3"/>
  <c r="AN56" i="3"/>
  <c r="AU56" i="3"/>
  <c r="AM56" i="3"/>
  <c r="BA56" i="3"/>
  <c r="AS56" i="3"/>
  <c r="AY56" i="3"/>
  <c r="AQ56" i="3"/>
  <c r="AL56" i="3"/>
  <c r="AO56" i="3"/>
  <c r="AR56" i="3"/>
  <c r="AT56" i="3"/>
  <c r="AW56" i="3"/>
  <c r="CO40" i="5"/>
  <c r="CO45" i="5"/>
  <c r="CO44" i="5"/>
  <c r="BG40" i="5"/>
  <c r="BT38" i="5"/>
  <c r="CO38" i="5" s="1"/>
  <c r="CP37" i="5" s="1"/>
  <c r="BT43" i="5"/>
  <c r="CO43" i="5" s="1"/>
  <c r="CP42" i="5" s="1"/>
  <c r="BG45" i="5"/>
  <c r="BG39" i="5"/>
  <c r="BG44" i="5"/>
  <c r="BG38" i="5"/>
  <c r="BG42" i="5"/>
  <c r="AL43" i="5"/>
  <c r="BG43" i="5" s="1"/>
  <c r="Q75" i="5"/>
  <c r="S80" i="5"/>
  <c r="J75" i="5"/>
  <c r="E80" i="5"/>
  <c r="M80" i="5"/>
  <c r="U80" i="5"/>
  <c r="E75" i="5"/>
  <c r="M75" i="5"/>
  <c r="V75" i="5"/>
  <c r="H80" i="5"/>
  <c r="X63" i="5"/>
  <c r="U61" i="5"/>
  <c r="E67" i="5"/>
  <c r="M61" i="5"/>
  <c r="M50" i="5"/>
  <c r="Z50" i="5" s="1"/>
  <c r="E62" i="5"/>
  <c r="M63" i="5"/>
  <c r="T61" i="5"/>
  <c r="L61" i="5"/>
  <c r="O63" i="5"/>
  <c r="F68" i="5"/>
  <c r="Q68" i="5"/>
  <c r="E63" i="5"/>
  <c r="P63" i="5"/>
  <c r="G68" i="5"/>
  <c r="G80" i="5" s="1"/>
  <c r="S68" i="5"/>
  <c r="S75" i="5" s="1"/>
  <c r="V68" i="5"/>
  <c r="V76" i="5" s="1"/>
  <c r="R63" i="5"/>
  <c r="G63" i="5"/>
  <c r="U63" i="5"/>
  <c r="I68" i="5"/>
  <c r="W68" i="5"/>
  <c r="O68" i="5"/>
  <c r="O80" i="5" s="1"/>
  <c r="P68" i="5"/>
  <c r="F63" i="5"/>
  <c r="H68" i="5"/>
  <c r="H63" i="5"/>
  <c r="V63" i="5"/>
  <c r="K68" i="5"/>
  <c r="K76" i="5" s="1"/>
  <c r="X68" i="5"/>
  <c r="N63" i="5"/>
  <c r="J63" i="5"/>
  <c r="W63" i="5"/>
  <c r="N68" i="5"/>
  <c r="N76" i="5" s="1"/>
  <c r="Y68" i="5"/>
  <c r="I63" i="5"/>
  <c r="Q63" i="5"/>
  <c r="Y63" i="5"/>
  <c r="J68" i="5"/>
  <c r="R68" i="5"/>
  <c r="K63" i="5"/>
  <c r="S63" i="5"/>
  <c r="L68" i="5"/>
  <c r="T68" i="5"/>
  <c r="T76" i="5" s="1"/>
  <c r="L63" i="5"/>
  <c r="T63" i="5"/>
  <c r="E68" i="5"/>
  <c r="M68" i="5"/>
  <c r="U68" i="5"/>
  <c r="U76" i="5" s="1"/>
  <c r="O51" i="5"/>
  <c r="T25" i="5"/>
  <c r="T42" i="5" s="1"/>
  <c r="T54" i="5" s="1"/>
  <c r="T66" i="5" s="1"/>
  <c r="H44" i="5"/>
  <c r="E26" i="5"/>
  <c r="M55" i="5"/>
  <c r="P44" i="5"/>
  <c r="W51" i="5"/>
  <c r="S20" i="5"/>
  <c r="S37" i="5" s="1"/>
  <c r="X44" i="5"/>
  <c r="L22" i="5"/>
  <c r="I56" i="5"/>
  <c r="Q56" i="5"/>
  <c r="L39" i="5"/>
  <c r="T43" i="5"/>
  <c r="Y56" i="5"/>
  <c r="S27" i="5"/>
  <c r="T39" i="5"/>
  <c r="W22" i="5"/>
  <c r="T22" i="5"/>
  <c r="W27" i="5"/>
  <c r="E39" i="5"/>
  <c r="M39" i="5"/>
  <c r="U39" i="5"/>
  <c r="I44" i="5"/>
  <c r="Q44" i="5"/>
  <c r="Y44" i="5"/>
  <c r="H51" i="5"/>
  <c r="P51" i="5"/>
  <c r="X51" i="5"/>
  <c r="J56" i="5"/>
  <c r="I20" i="5"/>
  <c r="I37" i="5" s="1"/>
  <c r="Y20" i="5"/>
  <c r="Y37" i="5" s="1"/>
  <c r="R27" i="5"/>
  <c r="Y27" i="5"/>
  <c r="F39" i="5"/>
  <c r="N39" i="5"/>
  <c r="V39" i="5"/>
  <c r="J44" i="5"/>
  <c r="R44" i="5"/>
  <c r="I51" i="5"/>
  <c r="Q51" i="5"/>
  <c r="Y51" i="5"/>
  <c r="K56" i="5"/>
  <c r="S56" i="5"/>
  <c r="J20" i="5"/>
  <c r="J37" i="5" s="1"/>
  <c r="G27" i="5"/>
  <c r="G39" i="5"/>
  <c r="O39" i="5"/>
  <c r="W39" i="5"/>
  <c r="K44" i="5"/>
  <c r="S44" i="5"/>
  <c r="J51" i="5"/>
  <c r="R51" i="5"/>
  <c r="L56" i="5"/>
  <c r="T56" i="5"/>
  <c r="K20" i="5"/>
  <c r="K37" i="5" s="1"/>
  <c r="I27" i="5"/>
  <c r="H39" i="5"/>
  <c r="P39" i="5"/>
  <c r="X39" i="5"/>
  <c r="L44" i="5"/>
  <c r="T44" i="5"/>
  <c r="K51" i="5"/>
  <c r="S51" i="5"/>
  <c r="E56" i="5"/>
  <c r="M56" i="5"/>
  <c r="U56" i="5"/>
  <c r="L25" i="5"/>
  <c r="L42" i="5" s="1"/>
  <c r="L54" i="5" s="1"/>
  <c r="L66" i="5" s="1"/>
  <c r="K27" i="5"/>
  <c r="I39" i="5"/>
  <c r="Q39" i="5"/>
  <c r="Y39" i="5"/>
  <c r="E44" i="5"/>
  <c r="M44" i="5"/>
  <c r="U44" i="5"/>
  <c r="L51" i="5"/>
  <c r="T51" i="5"/>
  <c r="F56" i="5"/>
  <c r="N56" i="5"/>
  <c r="V56" i="5"/>
  <c r="Q20" i="5"/>
  <c r="Q37" i="5" s="1"/>
  <c r="O27" i="5"/>
  <c r="J39" i="5"/>
  <c r="R39" i="5"/>
  <c r="F44" i="5"/>
  <c r="N44" i="5"/>
  <c r="V44" i="5"/>
  <c r="E51" i="5"/>
  <c r="M51" i="5"/>
  <c r="U51" i="5"/>
  <c r="G56" i="5"/>
  <c r="O56" i="5"/>
  <c r="W56" i="5"/>
  <c r="R20" i="5"/>
  <c r="R37" i="5" s="1"/>
  <c r="Q27" i="5"/>
  <c r="K39" i="5"/>
  <c r="S39" i="5"/>
  <c r="G44" i="5"/>
  <c r="O44" i="5"/>
  <c r="W44" i="5"/>
  <c r="T38" i="5"/>
  <c r="Z38" i="5" s="1"/>
  <c r="F51" i="5"/>
  <c r="N51" i="5"/>
  <c r="V51" i="5"/>
  <c r="H56" i="5"/>
  <c r="P56" i="5"/>
  <c r="X56" i="5"/>
  <c r="V22" i="5"/>
  <c r="P22" i="5"/>
  <c r="X22" i="5"/>
  <c r="F20" i="5"/>
  <c r="N20" i="5"/>
  <c r="N37" i="5" s="1"/>
  <c r="V20" i="5"/>
  <c r="V37" i="5" s="1"/>
  <c r="I22" i="5"/>
  <c r="Q22" i="5"/>
  <c r="Y22" i="5"/>
  <c r="M25" i="5"/>
  <c r="M42" i="5" s="1"/>
  <c r="M54" i="5" s="1"/>
  <c r="M66" i="5" s="1"/>
  <c r="U25" i="5"/>
  <c r="U42" i="5" s="1"/>
  <c r="U54" i="5" s="1"/>
  <c r="U66" i="5" s="1"/>
  <c r="L27" i="5"/>
  <c r="T27" i="5"/>
  <c r="F22" i="5"/>
  <c r="G20" i="5"/>
  <c r="G37" i="5" s="1"/>
  <c r="O20" i="5"/>
  <c r="O37" i="5" s="1"/>
  <c r="W20" i="5"/>
  <c r="W37" i="5" s="1"/>
  <c r="J22" i="5"/>
  <c r="R22" i="5"/>
  <c r="F25" i="5"/>
  <c r="F42" i="5" s="1"/>
  <c r="F54" i="5" s="1"/>
  <c r="F66" i="5" s="1"/>
  <c r="N25" i="5"/>
  <c r="N42" i="5" s="1"/>
  <c r="N54" i="5" s="1"/>
  <c r="N66" i="5" s="1"/>
  <c r="E27" i="5"/>
  <c r="M27" i="5"/>
  <c r="U27" i="5"/>
  <c r="N22" i="5"/>
  <c r="H22" i="5"/>
  <c r="H20" i="5"/>
  <c r="H37" i="5" s="1"/>
  <c r="P20" i="5"/>
  <c r="P37" i="5" s="1"/>
  <c r="X20" i="5"/>
  <c r="X37" i="5" s="1"/>
  <c r="K22" i="5"/>
  <c r="S22" i="5"/>
  <c r="G25" i="5"/>
  <c r="G42" i="5" s="1"/>
  <c r="G54" i="5" s="1"/>
  <c r="G66" i="5" s="1"/>
  <c r="O25" i="5"/>
  <c r="O42" i="5" s="1"/>
  <c r="O54" i="5" s="1"/>
  <c r="O66" i="5" s="1"/>
  <c r="W25" i="5"/>
  <c r="W42" i="5" s="1"/>
  <c r="W54" i="5" s="1"/>
  <c r="W66" i="5" s="1"/>
  <c r="F27" i="5"/>
  <c r="N27" i="5"/>
  <c r="V27" i="5"/>
  <c r="E22" i="5"/>
  <c r="M22" i="5"/>
  <c r="U22" i="5"/>
  <c r="H27" i="5"/>
  <c r="P27" i="5"/>
  <c r="X27" i="5"/>
  <c r="E21" i="5"/>
  <c r="G22" i="5"/>
  <c r="O22" i="5"/>
  <c r="J27" i="5"/>
  <c r="BT82" i="3" l="1"/>
  <c r="AL53" i="3"/>
  <c r="AL55" i="3" s="1"/>
  <c r="CO56" i="3"/>
  <c r="BH37" i="5"/>
  <c r="BH42" i="5"/>
  <c r="X76" i="5"/>
  <c r="X75" i="5"/>
  <c r="R81" i="5"/>
  <c r="J81" i="5"/>
  <c r="S81" i="5"/>
  <c r="Y81" i="5"/>
  <c r="Q81" i="5"/>
  <c r="I81" i="5"/>
  <c r="K81" i="5"/>
  <c r="X81" i="5"/>
  <c r="P81" i="5"/>
  <c r="H81" i="5"/>
  <c r="W81" i="5"/>
  <c r="O81" i="5"/>
  <c r="G81" i="5"/>
  <c r="L81" i="5"/>
  <c r="V81" i="5"/>
  <c r="N81" i="5"/>
  <c r="F81" i="5"/>
  <c r="U81" i="5"/>
  <c r="M81" i="5"/>
  <c r="E81" i="5"/>
  <c r="T81" i="5"/>
  <c r="Q80" i="5"/>
  <c r="Q76" i="5"/>
  <c r="N75" i="5"/>
  <c r="K80" i="5"/>
  <c r="W76" i="5"/>
  <c r="W75" i="5"/>
  <c r="I76" i="5"/>
  <c r="I80" i="5"/>
  <c r="L76" i="5"/>
  <c r="Y76" i="5"/>
  <c r="Y80" i="5"/>
  <c r="F76" i="5"/>
  <c r="F75" i="5"/>
  <c r="Z75" i="5" s="1"/>
  <c r="V80" i="5"/>
  <c r="Y75" i="5"/>
  <c r="N80" i="5"/>
  <c r="F80" i="5"/>
  <c r="Z80" i="5" s="1"/>
  <c r="T80" i="5"/>
  <c r="I75" i="5"/>
  <c r="W80" i="5"/>
  <c r="K75" i="5"/>
  <c r="M76" i="5"/>
  <c r="R80" i="5"/>
  <c r="R76" i="5"/>
  <c r="P76" i="5"/>
  <c r="P75" i="5"/>
  <c r="S76" i="5"/>
  <c r="X80" i="5"/>
  <c r="T75" i="5"/>
  <c r="L80" i="5"/>
  <c r="H76" i="5"/>
  <c r="H75" i="5"/>
  <c r="Z73" i="5"/>
  <c r="E76" i="5"/>
  <c r="J80" i="5"/>
  <c r="J76" i="5"/>
  <c r="O76" i="5"/>
  <c r="O75" i="5"/>
  <c r="G76" i="5"/>
  <c r="G75" i="5"/>
  <c r="P80" i="5"/>
  <c r="U75" i="5"/>
  <c r="L75" i="5"/>
  <c r="R75" i="5"/>
  <c r="H62" i="5"/>
  <c r="V62" i="5"/>
  <c r="P62" i="5"/>
  <c r="N62" i="5"/>
  <c r="J62" i="5"/>
  <c r="W62" i="5"/>
  <c r="Y62" i="5"/>
  <c r="O62" i="5"/>
  <c r="S62" i="5"/>
  <c r="Q62" i="5"/>
  <c r="I57" i="5"/>
  <c r="X62" i="5"/>
  <c r="G62" i="5"/>
  <c r="U62" i="5"/>
  <c r="K62" i="5"/>
  <c r="I62" i="5"/>
  <c r="F28" i="5"/>
  <c r="K49" i="5"/>
  <c r="K61" i="5"/>
  <c r="O49" i="5"/>
  <c r="O61" i="5"/>
  <c r="X49" i="5"/>
  <c r="X61" i="5"/>
  <c r="W49" i="5"/>
  <c r="W61" i="5"/>
  <c r="K28" i="5"/>
  <c r="N49" i="5"/>
  <c r="N61" i="5"/>
  <c r="O45" i="5"/>
  <c r="P49" i="5"/>
  <c r="P61" i="5"/>
  <c r="I49" i="5"/>
  <c r="I61" i="5"/>
  <c r="S49" i="5"/>
  <c r="S61" i="5"/>
  <c r="Q49" i="5"/>
  <c r="Q61" i="5"/>
  <c r="R45" i="5"/>
  <c r="F57" i="5"/>
  <c r="H49" i="5"/>
  <c r="H61" i="5"/>
  <c r="W57" i="5"/>
  <c r="G49" i="5"/>
  <c r="G61" i="5"/>
  <c r="W28" i="5"/>
  <c r="V49" i="5"/>
  <c r="V61" i="5"/>
  <c r="R49" i="5"/>
  <c r="R61" i="5"/>
  <c r="J57" i="5"/>
  <c r="Y49" i="5"/>
  <c r="Y61" i="5"/>
  <c r="J49" i="5"/>
  <c r="J61" i="5"/>
  <c r="Z55" i="5"/>
  <c r="Z63" i="5"/>
  <c r="V28" i="5"/>
  <c r="L28" i="5"/>
  <c r="O57" i="5"/>
  <c r="Z68" i="5"/>
  <c r="Q28" i="5"/>
  <c r="Y57" i="5"/>
  <c r="M45" i="5"/>
  <c r="S57" i="5"/>
  <c r="U28" i="5"/>
  <c r="R57" i="5"/>
  <c r="R69" i="5"/>
  <c r="J69" i="5"/>
  <c r="Y69" i="5"/>
  <c r="Q69" i="5"/>
  <c r="I69" i="5"/>
  <c r="X69" i="5"/>
  <c r="P69" i="5"/>
  <c r="H69" i="5"/>
  <c r="W69" i="5"/>
  <c r="O69" i="5"/>
  <c r="G69" i="5"/>
  <c r="V69" i="5"/>
  <c r="N69" i="5"/>
  <c r="F69" i="5"/>
  <c r="U69" i="5"/>
  <c r="M69" i="5"/>
  <c r="E69" i="5"/>
  <c r="T69" i="5"/>
  <c r="L69" i="5"/>
  <c r="S69" i="5"/>
  <c r="K69" i="5"/>
  <c r="J45" i="5"/>
  <c r="Q45" i="5"/>
  <c r="P28" i="5"/>
  <c r="V45" i="5"/>
  <c r="M57" i="5"/>
  <c r="E23" i="5"/>
  <c r="Y64" i="5"/>
  <c r="Q64" i="5"/>
  <c r="I64" i="5"/>
  <c r="X64" i="5"/>
  <c r="P64" i="5"/>
  <c r="H64" i="5"/>
  <c r="W64" i="5"/>
  <c r="O64" i="5"/>
  <c r="G64" i="5"/>
  <c r="V64" i="5"/>
  <c r="N64" i="5"/>
  <c r="F64" i="5"/>
  <c r="J64" i="5"/>
  <c r="U64" i="5"/>
  <c r="M64" i="5"/>
  <c r="E64" i="5"/>
  <c r="R64" i="5"/>
  <c r="T64" i="5"/>
  <c r="L64" i="5"/>
  <c r="S64" i="5"/>
  <c r="K64" i="5"/>
  <c r="M28" i="5"/>
  <c r="J28" i="5"/>
  <c r="Z26" i="5"/>
  <c r="R28" i="5"/>
  <c r="W45" i="5"/>
  <c r="Z43" i="5"/>
  <c r="T62" i="5"/>
  <c r="T67" i="5"/>
  <c r="L57" i="5"/>
  <c r="G57" i="5"/>
  <c r="G45" i="5"/>
  <c r="V57" i="5"/>
  <c r="N45" i="5"/>
  <c r="S45" i="5"/>
  <c r="N28" i="5"/>
  <c r="H28" i="5"/>
  <c r="S28" i="5"/>
  <c r="Q57" i="5"/>
  <c r="Y45" i="5"/>
  <c r="N57" i="5"/>
  <c r="F45" i="5"/>
  <c r="U57" i="5"/>
  <c r="U45" i="5"/>
  <c r="K57" i="5"/>
  <c r="X28" i="5"/>
  <c r="T28" i="5"/>
  <c r="X57" i="5"/>
  <c r="E57" i="5"/>
  <c r="G28" i="5"/>
  <c r="Y28" i="5"/>
  <c r="M23" i="5"/>
  <c r="P57" i="5"/>
  <c r="P45" i="5"/>
  <c r="T45" i="5"/>
  <c r="E28" i="5"/>
  <c r="I45" i="5"/>
  <c r="X45" i="5"/>
  <c r="E45" i="5"/>
  <c r="K45" i="5"/>
  <c r="X23" i="5"/>
  <c r="O28" i="5"/>
  <c r="I28" i="5"/>
  <c r="H57" i="5"/>
  <c r="H45" i="5"/>
  <c r="T57" i="5"/>
  <c r="L45" i="5"/>
  <c r="P23" i="5"/>
  <c r="Z42" i="5"/>
  <c r="Z56" i="5"/>
  <c r="Z39" i="5"/>
  <c r="Z21" i="5"/>
  <c r="X52" i="5"/>
  <c r="P52" i="5"/>
  <c r="H52" i="5"/>
  <c r="V40" i="5"/>
  <c r="N40" i="5"/>
  <c r="F40" i="5"/>
  <c r="I52" i="5"/>
  <c r="W52" i="5"/>
  <c r="O52" i="5"/>
  <c r="G52" i="5"/>
  <c r="U40" i="5"/>
  <c r="M40" i="5"/>
  <c r="E40" i="5"/>
  <c r="Y52" i="5"/>
  <c r="V52" i="5"/>
  <c r="N52" i="5"/>
  <c r="F52" i="5"/>
  <c r="T40" i="5"/>
  <c r="L40" i="5"/>
  <c r="G40" i="5"/>
  <c r="U52" i="5"/>
  <c r="M52" i="5"/>
  <c r="E52" i="5"/>
  <c r="S40" i="5"/>
  <c r="K40" i="5"/>
  <c r="W40" i="5"/>
  <c r="T52" i="5"/>
  <c r="L52" i="5"/>
  <c r="R40" i="5"/>
  <c r="J40" i="5"/>
  <c r="S52" i="5"/>
  <c r="K52" i="5"/>
  <c r="Y40" i="5"/>
  <c r="Q40" i="5"/>
  <c r="I40" i="5"/>
  <c r="Q52" i="5"/>
  <c r="R52" i="5"/>
  <c r="J52" i="5"/>
  <c r="X40" i="5"/>
  <c r="P40" i="5"/>
  <c r="H40" i="5"/>
  <c r="O40" i="5"/>
  <c r="Z20" i="5"/>
  <c r="F37" i="5"/>
  <c r="F61" i="5" s="1"/>
  <c r="Z78" i="5" s="1"/>
  <c r="Z44" i="5"/>
  <c r="J23" i="5"/>
  <c r="S23" i="5"/>
  <c r="Z51" i="5"/>
  <c r="Z27" i="5"/>
  <c r="Z22" i="5"/>
  <c r="R23" i="5"/>
  <c r="H23" i="5"/>
  <c r="W23" i="5"/>
  <c r="K23" i="5"/>
  <c r="T23" i="5"/>
  <c r="O23" i="5"/>
  <c r="Z25" i="5"/>
  <c r="L23" i="5"/>
  <c r="V23" i="5"/>
  <c r="G23" i="5"/>
  <c r="Y23" i="5"/>
  <c r="N23" i="5"/>
  <c r="Q23" i="5"/>
  <c r="F23" i="5"/>
  <c r="I23" i="5"/>
  <c r="U23" i="5"/>
  <c r="BT84" i="3" l="1"/>
  <c r="CO84" i="3" s="1"/>
  <c r="CC85" i="3"/>
  <c r="BV85" i="3"/>
  <c r="BV86" i="3" s="1"/>
  <c r="BT85" i="3"/>
  <c r="BW85" i="3"/>
  <c r="BW86" i="3" s="1"/>
  <c r="BU85" i="3"/>
  <c r="BU86" i="3" s="1"/>
  <c r="CA85" i="3"/>
  <c r="CA86" i="3" s="1"/>
  <c r="BX85" i="3"/>
  <c r="BX86" i="3" s="1"/>
  <c r="BZ85" i="3"/>
  <c r="BZ86" i="3" s="1"/>
  <c r="BY85" i="3"/>
  <c r="BY86" i="3" s="1"/>
  <c r="CB85" i="3"/>
  <c r="CB86" i="3" s="1"/>
  <c r="Z79" i="5"/>
  <c r="AA78" i="5" s="1"/>
  <c r="Z76" i="5"/>
  <c r="Z81" i="5"/>
  <c r="Z61" i="5"/>
  <c r="Z66" i="5"/>
  <c r="Z64" i="5"/>
  <c r="M62" i="5"/>
  <c r="Z62" i="5" s="1"/>
  <c r="M67" i="5"/>
  <c r="M74" i="5" s="1"/>
  <c r="Z74" i="5" s="1"/>
  <c r="AA73" i="5" s="1"/>
  <c r="Z69" i="5"/>
  <c r="Z28" i="5"/>
  <c r="AA25" i="5" s="1"/>
  <c r="Z57" i="5"/>
  <c r="Z45" i="5"/>
  <c r="AA42" i="5" s="1"/>
  <c r="Z37" i="5"/>
  <c r="F49" i="5"/>
  <c r="Z49" i="5" s="1"/>
  <c r="Z52" i="5"/>
  <c r="Z40" i="5"/>
  <c r="Z54" i="5"/>
  <c r="Z23" i="5"/>
  <c r="AA20" i="5" s="1"/>
  <c r="BT86" i="3" l="1"/>
  <c r="CO85" i="3"/>
  <c r="Z67" i="5"/>
  <c r="AA66" i="5" s="1"/>
  <c r="AA61" i="5"/>
  <c r="AA54" i="5"/>
  <c r="AA49" i="5"/>
  <c r="AA37" i="5"/>
  <c r="F17" i="3" l="1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E17" i="3"/>
  <c r="E56" i="3" s="1"/>
  <c r="F16" i="3"/>
  <c r="F22" i="3" s="1"/>
  <c r="G16" i="3"/>
  <c r="G22" i="3" s="1"/>
  <c r="H16" i="3"/>
  <c r="H22" i="3" s="1"/>
  <c r="I16" i="3"/>
  <c r="I22" i="3" s="1"/>
  <c r="J16" i="3"/>
  <c r="J22" i="3" s="1"/>
  <c r="K16" i="3"/>
  <c r="K22" i="3" s="1"/>
  <c r="L16" i="3"/>
  <c r="L22" i="3" s="1"/>
  <c r="M16" i="3"/>
  <c r="M22" i="3" s="1"/>
  <c r="N16" i="3"/>
  <c r="N22" i="3" s="1"/>
  <c r="O16" i="3"/>
  <c r="O22" i="3" s="1"/>
  <c r="P16" i="3"/>
  <c r="P22" i="3" s="1"/>
  <c r="Q16" i="3"/>
  <c r="Q22" i="3" s="1"/>
  <c r="R16" i="3"/>
  <c r="R22" i="3" s="1"/>
  <c r="S16" i="3"/>
  <c r="S22" i="3" s="1"/>
  <c r="T16" i="3"/>
  <c r="U16" i="3"/>
  <c r="U22" i="3" s="1"/>
  <c r="V16" i="3"/>
  <c r="V22" i="3" s="1"/>
  <c r="W16" i="3"/>
  <c r="W22" i="3" s="1"/>
  <c r="X16" i="3"/>
  <c r="X22" i="3" s="1"/>
  <c r="Y16" i="3"/>
  <c r="Y22" i="3" s="1"/>
  <c r="E16" i="3"/>
  <c r="E20" i="3"/>
  <c r="D143" i="3"/>
  <c r="B69" i="2"/>
  <c r="B50" i="2"/>
  <c r="B38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W24" i="2"/>
  <c r="V24" i="2"/>
  <c r="U24" i="2"/>
  <c r="T24" i="2"/>
  <c r="S24" i="2"/>
  <c r="S26" i="2" s="1"/>
  <c r="R24" i="2"/>
  <c r="R26" i="2" s="1"/>
  <c r="Q24" i="2"/>
  <c r="Q26" i="2" s="1"/>
  <c r="P24" i="2"/>
  <c r="P26" i="2" s="1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I21" i="2" s="1"/>
  <c r="I22" i="2" s="1"/>
  <c r="H20" i="2"/>
  <c r="H21" i="2" s="1"/>
  <c r="H22" i="2" s="1"/>
  <c r="G20" i="2"/>
  <c r="F20" i="2"/>
  <c r="E20" i="2"/>
  <c r="D20" i="2"/>
  <c r="C20" i="2"/>
  <c r="C18" i="2"/>
  <c r="C19" i="2" s="1"/>
  <c r="I17" i="2"/>
  <c r="I19" i="2" s="1"/>
  <c r="H17" i="2"/>
  <c r="H19" i="2" s="1"/>
  <c r="C17" i="2"/>
  <c r="W15" i="2"/>
  <c r="V15" i="2"/>
  <c r="U15" i="2"/>
  <c r="T15" i="2"/>
  <c r="S15" i="2"/>
  <c r="R15" i="2"/>
  <c r="Q15" i="2"/>
  <c r="Q17" i="2" s="1"/>
  <c r="Q19" i="2" s="1"/>
  <c r="P15" i="2"/>
  <c r="P17" i="2" s="1"/>
  <c r="P19" i="2" s="1"/>
  <c r="O15" i="2"/>
  <c r="O17" i="2" s="1"/>
  <c r="O19" i="2" s="1"/>
  <c r="N15" i="2"/>
  <c r="N17" i="2" s="1"/>
  <c r="N19" i="2" s="1"/>
  <c r="M15" i="2"/>
  <c r="M17" i="2" s="1"/>
  <c r="M19" i="2" s="1"/>
  <c r="L15" i="2"/>
  <c r="L17" i="2" s="1"/>
  <c r="L19" i="2" s="1"/>
  <c r="K15" i="2"/>
  <c r="K17" i="2" s="1"/>
  <c r="K19" i="2" s="1"/>
  <c r="J15" i="2"/>
  <c r="J17" i="2" s="1"/>
  <c r="J19" i="2" s="1"/>
  <c r="I15" i="2"/>
  <c r="H15" i="2"/>
  <c r="G15" i="2"/>
  <c r="G21" i="2" s="1"/>
  <c r="F15" i="2"/>
  <c r="F21" i="2" s="1"/>
  <c r="E15" i="2"/>
  <c r="E21" i="2" s="1"/>
  <c r="D15" i="2"/>
  <c r="D21" i="2" s="1"/>
  <c r="C15" i="2"/>
  <c r="C18" i="1"/>
  <c r="B68" i="1"/>
  <c r="C25" i="1" s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C20" i="1"/>
  <c r="B49" i="1"/>
  <c r="B37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C24" i="1"/>
  <c r="D15" i="1"/>
  <c r="D17" i="1" s="1"/>
  <c r="E15" i="1"/>
  <c r="E17" i="1" s="1"/>
  <c r="F15" i="1"/>
  <c r="F17" i="1" s="1"/>
  <c r="G15" i="1"/>
  <c r="H15" i="1"/>
  <c r="H17" i="1" s="1"/>
  <c r="I15" i="1"/>
  <c r="J15" i="1"/>
  <c r="J17" i="1" s="1"/>
  <c r="K15" i="1"/>
  <c r="L15" i="1"/>
  <c r="M15" i="1"/>
  <c r="M17" i="1" s="1"/>
  <c r="N15" i="1"/>
  <c r="N17" i="1" s="1"/>
  <c r="O15" i="1"/>
  <c r="O17" i="1" s="1"/>
  <c r="P15" i="1"/>
  <c r="P17" i="1" s="1"/>
  <c r="Q15" i="1"/>
  <c r="Q17" i="1" s="1"/>
  <c r="R15" i="1"/>
  <c r="R17" i="1" s="1"/>
  <c r="S15" i="1"/>
  <c r="S17" i="1" s="1"/>
  <c r="T15" i="1"/>
  <c r="T17" i="1" s="1"/>
  <c r="U15" i="1"/>
  <c r="U17" i="1" s="1"/>
  <c r="V15" i="1"/>
  <c r="V17" i="1" s="1"/>
  <c r="W15" i="1"/>
  <c r="W17" i="1" s="1"/>
  <c r="C15" i="1"/>
  <c r="E57" i="3" l="1"/>
  <c r="O28" i="3"/>
  <c r="O29" i="3" s="1"/>
  <c r="O56" i="3"/>
  <c r="O57" i="3" s="1"/>
  <c r="F28" i="3"/>
  <c r="F29" i="3" s="1"/>
  <c r="F56" i="3"/>
  <c r="F57" i="3" s="1"/>
  <c r="U28" i="3"/>
  <c r="U29" i="3" s="1"/>
  <c r="U56" i="3"/>
  <c r="L28" i="3"/>
  <c r="L29" i="3" s="1"/>
  <c r="L56" i="3"/>
  <c r="L57" i="3" s="1"/>
  <c r="K21" i="3"/>
  <c r="K49" i="3" s="1"/>
  <c r="BZ78" i="3" s="1"/>
  <c r="K28" i="3"/>
  <c r="K29" i="3" s="1"/>
  <c r="K56" i="3"/>
  <c r="K57" i="3" s="1"/>
  <c r="R21" i="3"/>
  <c r="R49" i="3" s="1"/>
  <c r="CG78" i="3" s="1"/>
  <c r="R28" i="3"/>
  <c r="R29" i="3" s="1"/>
  <c r="R56" i="3"/>
  <c r="R57" i="3" s="1"/>
  <c r="J21" i="3"/>
  <c r="J49" i="3" s="1"/>
  <c r="BY78" i="3" s="1"/>
  <c r="J28" i="3"/>
  <c r="J29" i="3" s="1"/>
  <c r="J56" i="3"/>
  <c r="J57" i="3" s="1"/>
  <c r="W28" i="3"/>
  <c r="W29" i="3" s="1"/>
  <c r="W56" i="3"/>
  <c r="V28" i="3"/>
  <c r="V29" i="3" s="1"/>
  <c r="V56" i="3"/>
  <c r="T28" i="3"/>
  <c r="T29" i="3" s="1"/>
  <c r="T56" i="3"/>
  <c r="T57" i="3" s="1"/>
  <c r="S21" i="3"/>
  <c r="S49" i="3" s="1"/>
  <c r="CH78" i="3" s="1"/>
  <c r="S28" i="3"/>
  <c r="S29" i="3" s="1"/>
  <c r="S56" i="3"/>
  <c r="S57" i="3" s="1"/>
  <c r="T55" i="3"/>
  <c r="BA55" i="3" s="1"/>
  <c r="BG55" i="3" s="1"/>
  <c r="Y21" i="3"/>
  <c r="Y49" i="3" s="1"/>
  <c r="CN78" i="3" s="1"/>
  <c r="Y56" i="3"/>
  <c r="Q21" i="3"/>
  <c r="Q49" i="3" s="1"/>
  <c r="CF78" i="3" s="1"/>
  <c r="Q28" i="3"/>
  <c r="Q29" i="3" s="1"/>
  <c r="Q56" i="3"/>
  <c r="Q57" i="3" s="1"/>
  <c r="I21" i="3"/>
  <c r="I49" i="3" s="1"/>
  <c r="BX78" i="3" s="1"/>
  <c r="I28" i="3"/>
  <c r="I29" i="3" s="1"/>
  <c r="I56" i="3"/>
  <c r="I57" i="3" s="1"/>
  <c r="G28" i="3"/>
  <c r="G29" i="3" s="1"/>
  <c r="G56" i="3"/>
  <c r="G57" i="3" s="1"/>
  <c r="N28" i="3"/>
  <c r="N29" i="3" s="1"/>
  <c r="N56" i="3"/>
  <c r="N57" i="3" s="1"/>
  <c r="M28" i="3"/>
  <c r="M29" i="3" s="1"/>
  <c r="M56" i="3"/>
  <c r="M57" i="3" s="1"/>
  <c r="E48" i="3"/>
  <c r="CE51" i="3"/>
  <c r="BW51" i="3"/>
  <c r="N23" i="3"/>
  <c r="N24" i="3" s="1"/>
  <c r="V23" i="3"/>
  <c r="V24" i="3" s="1"/>
  <c r="CI80" i="3"/>
  <c r="CD51" i="3"/>
  <c r="BV51" i="3"/>
  <c r="CJ51" i="3"/>
  <c r="CH80" i="3"/>
  <c r="CC51" i="3"/>
  <c r="BU51" i="3"/>
  <c r="H23" i="3"/>
  <c r="H24" i="3" s="1"/>
  <c r="P23" i="3"/>
  <c r="P24" i="3" s="1"/>
  <c r="X23" i="3"/>
  <c r="X24" i="3" s="1"/>
  <c r="F23" i="3"/>
  <c r="F24" i="3" s="1"/>
  <c r="S23" i="3"/>
  <c r="S24" i="3" s="1"/>
  <c r="CK51" i="3"/>
  <c r="CG80" i="3"/>
  <c r="CB51" i="3"/>
  <c r="BT51" i="3"/>
  <c r="I23" i="3"/>
  <c r="I24" i="3" s="1"/>
  <c r="Q23" i="3"/>
  <c r="Q24" i="3" s="1"/>
  <c r="CM51" i="3"/>
  <c r="CH51" i="3"/>
  <c r="K23" i="3"/>
  <c r="K24" i="3" s="1"/>
  <c r="CL51" i="3"/>
  <c r="CI51" i="3"/>
  <c r="CA51" i="3"/>
  <c r="J23" i="3"/>
  <c r="J24" i="3" s="1"/>
  <c r="R23" i="3"/>
  <c r="R24" i="3" s="1"/>
  <c r="BZ51" i="3"/>
  <c r="BY51" i="3"/>
  <c r="L23" i="3"/>
  <c r="L24" i="3" s="1"/>
  <c r="T23" i="3"/>
  <c r="T24" i="3" s="1"/>
  <c r="U23" i="3"/>
  <c r="U24" i="3" s="1"/>
  <c r="BX51" i="3"/>
  <c r="M23" i="3"/>
  <c r="M24" i="3" s="1"/>
  <c r="W23" i="3"/>
  <c r="W24" i="3" s="1"/>
  <c r="O23" i="3"/>
  <c r="O24" i="3" s="1"/>
  <c r="CG51" i="3"/>
  <c r="CN51" i="3"/>
  <c r="CF51" i="3"/>
  <c r="G23" i="3"/>
  <c r="G24" i="3" s="1"/>
  <c r="X21" i="3"/>
  <c r="X49" i="3" s="1"/>
  <c r="CM78" i="3" s="1"/>
  <c r="X28" i="3"/>
  <c r="X29" i="3" s="1"/>
  <c r="X56" i="3"/>
  <c r="P21" i="3"/>
  <c r="P49" i="3" s="1"/>
  <c r="CE78" i="3" s="1"/>
  <c r="P28" i="3"/>
  <c r="P29" i="3" s="1"/>
  <c r="P56" i="3"/>
  <c r="P57" i="3" s="1"/>
  <c r="H21" i="3"/>
  <c r="H49" i="3" s="1"/>
  <c r="BW78" i="3" s="1"/>
  <c r="H28" i="3"/>
  <c r="H29" i="3" s="1"/>
  <c r="H56" i="3"/>
  <c r="H57" i="3" s="1"/>
  <c r="AP49" i="3"/>
  <c r="BW49" i="3" s="1"/>
  <c r="AR49" i="3"/>
  <c r="BY49" i="3" s="1"/>
  <c r="AZ51" i="3"/>
  <c r="AR51" i="3"/>
  <c r="AY51" i="3"/>
  <c r="AQ51" i="3"/>
  <c r="AX51" i="3"/>
  <c r="AP51" i="3"/>
  <c r="AV51" i="3"/>
  <c r="AN51" i="3"/>
  <c r="AU51" i="3"/>
  <c r="AM51" i="3"/>
  <c r="BA51" i="3"/>
  <c r="AW51" i="3"/>
  <c r="AT51" i="3"/>
  <c r="AS51" i="3"/>
  <c r="AO51" i="3"/>
  <c r="AL51" i="3"/>
  <c r="E27" i="3"/>
  <c r="Z55" i="3"/>
  <c r="AX49" i="3"/>
  <c r="CE49" i="3" s="1"/>
  <c r="AW49" i="3"/>
  <c r="CD49" i="3" s="1"/>
  <c r="T22" i="3"/>
  <c r="W26" i="3"/>
  <c r="W54" i="3" s="1"/>
  <c r="CL83" i="3" s="1"/>
  <c r="O26" i="3"/>
  <c r="O54" i="3" s="1"/>
  <c r="CD83" i="3" s="1"/>
  <c r="G26" i="3"/>
  <c r="G54" i="3" s="1"/>
  <c r="BV83" i="3" s="1"/>
  <c r="V26" i="3"/>
  <c r="V54" i="3" s="1"/>
  <c r="CK83" i="3" s="1"/>
  <c r="N26" i="3"/>
  <c r="N54" i="3" s="1"/>
  <c r="CC83" i="3" s="1"/>
  <c r="F26" i="3"/>
  <c r="F54" i="3" s="1"/>
  <c r="BU83" i="3" s="1"/>
  <c r="F21" i="3"/>
  <c r="F49" i="3" s="1"/>
  <c r="BU78" i="3" s="1"/>
  <c r="U26" i="3"/>
  <c r="U54" i="3" s="1"/>
  <c r="S26" i="3"/>
  <c r="S54" i="3" s="1"/>
  <c r="CH83" i="3" s="1"/>
  <c r="K26" i="3"/>
  <c r="K54" i="3" s="1"/>
  <c r="BZ83" i="3" s="1"/>
  <c r="W21" i="3"/>
  <c r="W49" i="3" s="1"/>
  <c r="CL78" i="3" s="1"/>
  <c r="O21" i="3"/>
  <c r="O49" i="3" s="1"/>
  <c r="CD78" i="3" s="1"/>
  <c r="G21" i="3"/>
  <c r="G49" i="3" s="1"/>
  <c r="BV78" i="3" s="1"/>
  <c r="M26" i="3"/>
  <c r="M54" i="3" s="1"/>
  <c r="CB83" i="3" s="1"/>
  <c r="L26" i="3"/>
  <c r="L54" i="3" s="1"/>
  <c r="CA83" i="3" s="1"/>
  <c r="E28" i="3"/>
  <c r="R26" i="3"/>
  <c r="R54" i="3" s="1"/>
  <c r="CG83" i="3" s="1"/>
  <c r="J26" i="3"/>
  <c r="J54" i="3" s="1"/>
  <c r="BY83" i="3" s="1"/>
  <c r="V21" i="3"/>
  <c r="V49" i="3" s="1"/>
  <c r="CK78" i="3" s="1"/>
  <c r="N21" i="3"/>
  <c r="N49" i="3" s="1"/>
  <c r="CC78" i="3" s="1"/>
  <c r="Y26" i="3"/>
  <c r="Y54" i="3" s="1"/>
  <c r="CN83" i="3" s="1"/>
  <c r="Y28" i="3"/>
  <c r="Q26" i="3"/>
  <c r="Q54" i="3" s="1"/>
  <c r="CF83" i="3" s="1"/>
  <c r="I26" i="3"/>
  <c r="I54" i="3" s="1"/>
  <c r="BX83" i="3" s="1"/>
  <c r="U21" i="3"/>
  <c r="U49" i="3" s="1"/>
  <c r="CJ78" i="3" s="1"/>
  <c r="M21" i="3"/>
  <c r="M49" i="3" s="1"/>
  <c r="CB78" i="3" s="1"/>
  <c r="T26" i="3"/>
  <c r="T54" i="3" s="1"/>
  <c r="CI83" i="3" s="1"/>
  <c r="Y23" i="3"/>
  <c r="E23" i="3"/>
  <c r="E22" i="3"/>
  <c r="X26" i="3"/>
  <c r="X54" i="3" s="1"/>
  <c r="CM83" i="3" s="1"/>
  <c r="P26" i="3"/>
  <c r="P54" i="3" s="1"/>
  <c r="CE83" i="3" s="1"/>
  <c r="H26" i="3"/>
  <c r="H54" i="3" s="1"/>
  <c r="BW83" i="3" s="1"/>
  <c r="T21" i="3"/>
  <c r="T49" i="3" s="1"/>
  <c r="CI78" i="3" s="1"/>
  <c r="L21" i="3"/>
  <c r="L49" i="3" s="1"/>
  <c r="CA78" i="3" s="1"/>
  <c r="D17" i="2"/>
  <c r="D19" i="2" s="1"/>
  <c r="U26" i="2"/>
  <c r="E17" i="2"/>
  <c r="E19" i="2" s="1"/>
  <c r="V26" i="2"/>
  <c r="T26" i="2"/>
  <c r="C21" i="2"/>
  <c r="C22" i="2" s="1"/>
  <c r="C29" i="2" s="1"/>
  <c r="F17" i="2"/>
  <c r="F19" i="2" s="1"/>
  <c r="F22" i="2" s="1"/>
  <c r="F29" i="2" s="1"/>
  <c r="W26" i="2"/>
  <c r="X26" i="2" s="1"/>
  <c r="G17" i="2"/>
  <c r="G19" i="2" s="1"/>
  <c r="K21" i="1"/>
  <c r="L21" i="1"/>
  <c r="T21" i="1"/>
  <c r="S21" i="1"/>
  <c r="D21" i="1"/>
  <c r="W21" i="1"/>
  <c r="O21" i="1"/>
  <c r="G21" i="1"/>
  <c r="V21" i="1"/>
  <c r="N21" i="1"/>
  <c r="F21" i="1"/>
  <c r="U21" i="1"/>
  <c r="E21" i="1"/>
  <c r="R21" i="1"/>
  <c r="J21" i="1"/>
  <c r="M21" i="1"/>
  <c r="Q21" i="1"/>
  <c r="I21" i="1"/>
  <c r="C21" i="1"/>
  <c r="P21" i="1"/>
  <c r="H21" i="1"/>
  <c r="F26" i="2"/>
  <c r="I26" i="2"/>
  <c r="I29" i="2" s="1"/>
  <c r="K26" i="2"/>
  <c r="M26" i="2"/>
  <c r="N21" i="2"/>
  <c r="N22" i="2" s="1"/>
  <c r="N29" i="2" s="1"/>
  <c r="R21" i="2"/>
  <c r="E26" i="2"/>
  <c r="G26" i="2"/>
  <c r="H26" i="2"/>
  <c r="J26" i="2"/>
  <c r="L26" i="2"/>
  <c r="N26" i="2"/>
  <c r="M21" i="2"/>
  <c r="M22" i="2" s="1"/>
  <c r="M29" i="2" s="1"/>
  <c r="Q21" i="2"/>
  <c r="Q22" i="2" s="1"/>
  <c r="Q29" i="2" s="1"/>
  <c r="U21" i="2"/>
  <c r="W21" i="2"/>
  <c r="C26" i="2"/>
  <c r="O26" i="2"/>
  <c r="J21" i="2"/>
  <c r="J22" i="2" s="1"/>
  <c r="J29" i="2" s="1"/>
  <c r="L21" i="2"/>
  <c r="P21" i="2"/>
  <c r="P22" i="2" s="1"/>
  <c r="P29" i="2" s="1"/>
  <c r="T21" i="2"/>
  <c r="V21" i="2"/>
  <c r="D26" i="2"/>
  <c r="K21" i="2"/>
  <c r="O21" i="2"/>
  <c r="S21" i="2"/>
  <c r="L22" i="2"/>
  <c r="L29" i="2" s="1"/>
  <c r="K22" i="2"/>
  <c r="K29" i="2" s="1"/>
  <c r="H29" i="2"/>
  <c r="O22" i="2"/>
  <c r="O29" i="2" s="1"/>
  <c r="D22" i="2"/>
  <c r="D29" i="2" s="1"/>
  <c r="E22" i="2"/>
  <c r="E29" i="2" s="1"/>
  <c r="G22" i="2"/>
  <c r="G29" i="2" s="1"/>
  <c r="U17" i="2"/>
  <c r="U19" i="2" s="1"/>
  <c r="U22" i="2" s="1"/>
  <c r="U29" i="2" s="1"/>
  <c r="R17" i="2"/>
  <c r="R19" i="2" s="1"/>
  <c r="S17" i="2"/>
  <c r="S19" i="2" s="1"/>
  <c r="T17" i="2"/>
  <c r="T19" i="2" s="1"/>
  <c r="W17" i="2"/>
  <c r="W19" i="2" s="1"/>
  <c r="W22" i="2" s="1"/>
  <c r="V17" i="2"/>
  <c r="V19" i="2" s="1"/>
  <c r="V22" i="2" s="1"/>
  <c r="V29" i="2" s="1"/>
  <c r="C19" i="1"/>
  <c r="D26" i="1"/>
  <c r="C17" i="1"/>
  <c r="G26" i="1"/>
  <c r="F26" i="1"/>
  <c r="H26" i="1"/>
  <c r="E26" i="1"/>
  <c r="T26" i="1"/>
  <c r="Q26" i="1"/>
  <c r="M26" i="1"/>
  <c r="K26" i="1"/>
  <c r="S26" i="1"/>
  <c r="P26" i="1"/>
  <c r="L26" i="1"/>
  <c r="J26" i="1"/>
  <c r="W26" i="1"/>
  <c r="V26" i="1"/>
  <c r="U26" i="1"/>
  <c r="R26" i="1"/>
  <c r="O26" i="1"/>
  <c r="N26" i="1"/>
  <c r="I26" i="1"/>
  <c r="C26" i="1"/>
  <c r="H19" i="1"/>
  <c r="H22" i="1" s="1"/>
  <c r="U19" i="1"/>
  <c r="V19" i="1"/>
  <c r="Q19" i="1"/>
  <c r="L17" i="1"/>
  <c r="L19" i="1" s="1"/>
  <c r="S19" i="1"/>
  <c r="P19" i="1"/>
  <c r="D19" i="1"/>
  <c r="G17" i="1"/>
  <c r="G19" i="1" s="1"/>
  <c r="O19" i="1"/>
  <c r="K17" i="1"/>
  <c r="K19" i="1" s="1"/>
  <c r="N19" i="1"/>
  <c r="J19" i="1"/>
  <c r="F19" i="1"/>
  <c r="E19" i="1"/>
  <c r="I17" i="1"/>
  <c r="I19" i="1" s="1"/>
  <c r="W19" i="1"/>
  <c r="T19" i="1"/>
  <c r="R19" i="1"/>
  <c r="M19" i="1"/>
  <c r="M22" i="1" s="1"/>
  <c r="CO51" i="3" l="1"/>
  <c r="AY49" i="3"/>
  <c r="CF49" i="3" s="1"/>
  <c r="AO49" i="3"/>
  <c r="BV49" i="3" s="1"/>
  <c r="U57" i="3"/>
  <c r="BB57" i="3" s="1"/>
  <c r="BB56" i="3"/>
  <c r="CM57" i="3"/>
  <c r="CD86" i="3"/>
  <c r="CE57" i="3"/>
  <c r="BW57" i="3"/>
  <c r="CN57" i="3"/>
  <c r="CC86" i="3"/>
  <c r="CD57" i="3"/>
  <c r="BV57" i="3"/>
  <c r="CC57" i="3"/>
  <c r="BU57" i="3"/>
  <c r="CJ57" i="3"/>
  <c r="BZ57" i="3"/>
  <c r="CI86" i="3"/>
  <c r="CB57" i="3"/>
  <c r="BT57" i="3"/>
  <c r="CH86" i="3"/>
  <c r="CI57" i="3"/>
  <c r="CA57" i="3"/>
  <c r="CG86" i="3"/>
  <c r="CH57" i="3"/>
  <c r="CG57" i="3"/>
  <c r="CF86" i="3"/>
  <c r="CE86" i="3"/>
  <c r="BX57" i="3"/>
  <c r="CK57" i="3"/>
  <c r="CF57" i="3"/>
  <c r="BY57" i="3"/>
  <c r="CL57" i="3"/>
  <c r="Y57" i="3"/>
  <c r="BF57" i="3" s="1"/>
  <c r="BF56" i="3"/>
  <c r="V57" i="3"/>
  <c r="BC57" i="3" s="1"/>
  <c r="BC56" i="3"/>
  <c r="X57" i="3"/>
  <c r="BE57" i="3" s="1"/>
  <c r="BE56" i="3"/>
  <c r="CJ83" i="3"/>
  <c r="CO83" i="3" s="1"/>
  <c r="BB54" i="3"/>
  <c r="CI54" i="3" s="1"/>
  <c r="BF49" i="3"/>
  <c r="CM49" i="3" s="1"/>
  <c r="W57" i="3"/>
  <c r="BD57" i="3" s="1"/>
  <c r="BD56" i="3"/>
  <c r="BE49" i="3"/>
  <c r="CL49" i="3" s="1"/>
  <c r="CO78" i="3"/>
  <c r="AQ49" i="3"/>
  <c r="BX49" i="3" s="1"/>
  <c r="AZ49" i="3"/>
  <c r="CG49" i="3" s="1"/>
  <c r="M51" i="3"/>
  <c r="M52" i="3" s="1"/>
  <c r="U51" i="3"/>
  <c r="G51" i="3"/>
  <c r="G52" i="3" s="1"/>
  <c r="O51" i="3"/>
  <c r="O52" i="3" s="1"/>
  <c r="W51" i="3"/>
  <c r="BT77" i="3"/>
  <c r="AL48" i="3"/>
  <c r="AL50" i="3" s="1"/>
  <c r="E51" i="3"/>
  <c r="E52" i="3" s="1"/>
  <c r="H51" i="3"/>
  <c r="H52" i="3" s="1"/>
  <c r="P51" i="3"/>
  <c r="P52" i="3" s="1"/>
  <c r="X51" i="3"/>
  <c r="J51" i="3"/>
  <c r="J52" i="3" s="1"/>
  <c r="I51" i="3"/>
  <c r="I52" i="3" s="1"/>
  <c r="Q51" i="3"/>
  <c r="Q52" i="3" s="1"/>
  <c r="Y51" i="3"/>
  <c r="R51" i="3"/>
  <c r="R52" i="3" s="1"/>
  <c r="T51" i="3"/>
  <c r="T52" i="3" s="1"/>
  <c r="T50" i="3"/>
  <c r="BA50" i="3" s="1"/>
  <c r="L51" i="3"/>
  <c r="L52" i="3" s="1"/>
  <c r="N51" i="3"/>
  <c r="N52" i="3" s="1"/>
  <c r="V51" i="3"/>
  <c r="F51" i="3"/>
  <c r="F52" i="3" s="1"/>
  <c r="K51" i="3"/>
  <c r="K52" i="3" s="1"/>
  <c r="S51" i="3"/>
  <c r="S52" i="3" s="1"/>
  <c r="CK52" i="3"/>
  <c r="CE81" i="3"/>
  <c r="CE52" i="3"/>
  <c r="BW52" i="3"/>
  <c r="CL52" i="3"/>
  <c r="CD81" i="3"/>
  <c r="CD52" i="3"/>
  <c r="BV52" i="3"/>
  <c r="CM52" i="3"/>
  <c r="CC81" i="3"/>
  <c r="CC52" i="3"/>
  <c r="BU52" i="3"/>
  <c r="BZ52" i="3"/>
  <c r="CN52" i="3"/>
  <c r="CB81" i="3"/>
  <c r="CB52" i="3"/>
  <c r="BT52" i="3"/>
  <c r="CH81" i="3"/>
  <c r="CI81" i="3"/>
  <c r="CI52" i="3"/>
  <c r="CA52" i="3"/>
  <c r="CH52" i="3"/>
  <c r="CJ52" i="3"/>
  <c r="CF52" i="3"/>
  <c r="BY52" i="3"/>
  <c r="BX52" i="3"/>
  <c r="CG81" i="3"/>
  <c r="CG52" i="3"/>
  <c r="CF81" i="3"/>
  <c r="Z56" i="3"/>
  <c r="Y29" i="3"/>
  <c r="BC49" i="3"/>
  <c r="CJ49" i="3" s="1"/>
  <c r="AX52" i="3"/>
  <c r="AP52" i="3"/>
  <c r="AM52" i="3"/>
  <c r="AW52" i="3"/>
  <c r="AO52" i="3"/>
  <c r="AV52" i="3"/>
  <c r="AN52" i="3"/>
  <c r="AU52" i="3"/>
  <c r="AT52" i="3"/>
  <c r="AL52" i="3"/>
  <c r="BA52" i="3"/>
  <c r="AS52" i="3"/>
  <c r="AR52" i="3"/>
  <c r="AZ52" i="3"/>
  <c r="AY52" i="3"/>
  <c r="AQ52" i="3"/>
  <c r="Z27" i="3"/>
  <c r="AX54" i="3"/>
  <c r="CE54" i="3" s="1"/>
  <c r="AY54" i="3"/>
  <c r="CF54" i="3" s="1"/>
  <c r="BD49" i="3"/>
  <c r="CK49" i="3" s="1"/>
  <c r="AM49" i="3"/>
  <c r="Z49" i="3"/>
  <c r="AT57" i="3"/>
  <c r="AL57" i="3"/>
  <c r="BA57" i="3"/>
  <c r="AS57" i="3"/>
  <c r="AY57" i="3"/>
  <c r="AQ57" i="3"/>
  <c r="AW57" i="3"/>
  <c r="AO57" i="3"/>
  <c r="AU57" i="3"/>
  <c r="AR57" i="3"/>
  <c r="AP57" i="3"/>
  <c r="AN57" i="3"/>
  <c r="AM57" i="3"/>
  <c r="AZ57" i="3"/>
  <c r="AX57" i="3"/>
  <c r="AV57" i="3"/>
  <c r="AQ54" i="3"/>
  <c r="BX54" i="3" s="1"/>
  <c r="BA49" i="3"/>
  <c r="CH49" i="3" s="1"/>
  <c r="BB49" i="3"/>
  <c r="CI49" i="3" s="1"/>
  <c r="AZ54" i="3"/>
  <c r="CG54" i="3" s="1"/>
  <c r="AO54" i="3"/>
  <c r="BV54" i="3" s="1"/>
  <c r="AP54" i="3"/>
  <c r="BW54" i="3" s="1"/>
  <c r="AV49" i="3"/>
  <c r="CC49" i="3" s="1"/>
  <c r="AM54" i="3"/>
  <c r="Z54" i="3"/>
  <c r="BA54" i="3"/>
  <c r="CH54" i="3" s="1"/>
  <c r="BF54" i="3"/>
  <c r="CM54" i="3" s="1"/>
  <c r="AR54" i="3"/>
  <c r="BY54" i="3" s="1"/>
  <c r="E29" i="3"/>
  <c r="AT54" i="3"/>
  <c r="CA54" i="3" s="1"/>
  <c r="BC54" i="3"/>
  <c r="CJ54" i="3" s="1"/>
  <c r="AN49" i="3"/>
  <c r="BU49" i="3" s="1"/>
  <c r="AN54" i="3"/>
  <c r="BU54" i="3" s="1"/>
  <c r="AW54" i="3"/>
  <c r="CD54" i="3" s="1"/>
  <c r="AV54" i="3"/>
  <c r="CC54" i="3" s="1"/>
  <c r="BE54" i="3"/>
  <c r="CL54" i="3" s="1"/>
  <c r="AS49" i="3"/>
  <c r="BZ49" i="3" s="1"/>
  <c r="AT49" i="3"/>
  <c r="CA49" i="3" s="1"/>
  <c r="AU49" i="3"/>
  <c r="CB49" i="3" s="1"/>
  <c r="AS54" i="3"/>
  <c r="BZ54" i="3" s="1"/>
  <c r="AU54" i="3"/>
  <c r="CB54" i="3" s="1"/>
  <c r="BD54" i="3"/>
  <c r="CK54" i="3" s="1"/>
  <c r="Y24" i="3"/>
  <c r="Z22" i="3"/>
  <c r="Z23" i="3"/>
  <c r="Z21" i="3"/>
  <c r="Z28" i="3"/>
  <c r="Z26" i="3"/>
  <c r="E24" i="3"/>
  <c r="W29" i="2"/>
  <c r="X29" i="2" s="1"/>
  <c r="T22" i="2"/>
  <c r="T29" i="2" s="1"/>
  <c r="S22" i="2"/>
  <c r="S29" i="2" s="1"/>
  <c r="R22" i="2"/>
  <c r="R29" i="2" s="1"/>
  <c r="D22" i="1"/>
  <c r="P22" i="1"/>
  <c r="Q22" i="1"/>
  <c r="Q29" i="1" s="1"/>
  <c r="R22" i="1"/>
  <c r="F22" i="1"/>
  <c r="J22" i="1"/>
  <c r="J29" i="1" s="1"/>
  <c r="X22" i="2"/>
  <c r="S22" i="1"/>
  <c r="S29" i="1" s="1"/>
  <c r="C22" i="1"/>
  <c r="C29" i="1" s="1"/>
  <c r="D29" i="1"/>
  <c r="X26" i="1"/>
  <c r="R29" i="1"/>
  <c r="P29" i="1"/>
  <c r="M29" i="1"/>
  <c r="H29" i="1"/>
  <c r="F29" i="1"/>
  <c r="G22" i="1"/>
  <c r="G29" i="1" s="1"/>
  <c r="K22" i="1"/>
  <c r="K29" i="1" s="1"/>
  <c r="L22" i="1"/>
  <c r="L29" i="1" s="1"/>
  <c r="I22" i="1"/>
  <c r="I29" i="1" s="1"/>
  <c r="E22" i="1"/>
  <c r="E29" i="1" s="1"/>
  <c r="T22" i="1"/>
  <c r="T29" i="1" s="1"/>
  <c r="O22" i="1"/>
  <c r="O29" i="1" s="1"/>
  <c r="N22" i="1"/>
  <c r="N29" i="1" s="1"/>
  <c r="U22" i="1"/>
  <c r="U29" i="1" s="1"/>
  <c r="V22" i="1"/>
  <c r="V29" i="1" s="1"/>
  <c r="W22" i="1"/>
  <c r="W29" i="1" s="1"/>
  <c r="BG50" i="3" l="1"/>
  <c r="BG56" i="3"/>
  <c r="CO86" i="3"/>
  <c r="CP83" i="3" s="1"/>
  <c r="CO57" i="3"/>
  <c r="Z51" i="3"/>
  <c r="BE51" i="3"/>
  <c r="X52" i="3"/>
  <c r="BE52" i="3" s="1"/>
  <c r="Z50" i="3"/>
  <c r="Y52" i="3"/>
  <c r="BF52" i="3" s="1"/>
  <c r="BF51" i="3"/>
  <c r="BT79" i="3"/>
  <c r="CO79" i="3" s="1"/>
  <c r="BZ80" i="3"/>
  <c r="BZ81" i="3" s="1"/>
  <c r="CA80" i="3"/>
  <c r="CA81" i="3" s="1"/>
  <c r="BU80" i="3"/>
  <c r="BU81" i="3" s="1"/>
  <c r="CB80" i="3"/>
  <c r="BX80" i="3"/>
  <c r="BX81" i="3" s="1"/>
  <c r="CF80" i="3"/>
  <c r="CC80" i="3"/>
  <c r="BW80" i="3"/>
  <c r="BW81" i="3" s="1"/>
  <c r="BV80" i="3"/>
  <c r="BV81" i="3" s="1"/>
  <c r="CD80" i="3"/>
  <c r="CE80" i="3"/>
  <c r="BY80" i="3"/>
  <c r="BY81" i="3" s="1"/>
  <c r="BT80" i="3"/>
  <c r="U52" i="3"/>
  <c r="BB52" i="3" s="1"/>
  <c r="BB51" i="3"/>
  <c r="CO52" i="3"/>
  <c r="V52" i="3"/>
  <c r="BC52" i="3" s="1"/>
  <c r="BC51" i="3"/>
  <c r="W52" i="3"/>
  <c r="BD52" i="3" s="1"/>
  <c r="BD51" i="3"/>
  <c r="Z29" i="3"/>
  <c r="AA26" i="3" s="1"/>
  <c r="BG57" i="3"/>
  <c r="Z57" i="3"/>
  <c r="AA54" i="3" s="1"/>
  <c r="BG49" i="3"/>
  <c r="BG52" i="3"/>
  <c r="BG54" i="3"/>
  <c r="Z24" i="3"/>
  <c r="AA21" i="3" s="1"/>
  <c r="X22" i="1"/>
  <c r="X29" i="1"/>
  <c r="BG51" i="3" l="1"/>
  <c r="Z52" i="3"/>
  <c r="AA49" i="3" s="1"/>
  <c r="BH54" i="3"/>
  <c r="CN54" i="3"/>
  <c r="CO54" i="3" s="1"/>
  <c r="CP54" i="3" s="1"/>
  <c r="BT81" i="3"/>
  <c r="CO81" i="3" s="1"/>
  <c r="CO80" i="3"/>
  <c r="CP78" i="3" s="1"/>
  <c r="BH49" i="3"/>
  <c r="CN49" i="3"/>
  <c r="CO49" i="3" s="1"/>
  <c r="CP49" i="3" s="1"/>
</calcChain>
</file>

<file path=xl/sharedStrings.xml><?xml version="1.0" encoding="utf-8"?>
<sst xmlns="http://schemas.openxmlformats.org/spreadsheetml/2006/main" count="625" uniqueCount="113">
  <si>
    <t>CASE VARIABLES</t>
  </si>
  <si>
    <t>YEAR 1</t>
  </si>
  <si>
    <t>TOTAL</t>
  </si>
  <si>
    <t>a</t>
  </si>
  <si>
    <t>HOURLY TOTAL</t>
  </si>
  <si>
    <t>source capacity</t>
  </si>
  <si>
    <t>FOM</t>
  </si>
  <si>
    <t>VOM</t>
  </si>
  <si>
    <t>CAPEX</t>
  </si>
  <si>
    <t>reference_price (a)</t>
  </si>
  <si>
    <t>reference_driver (D')</t>
  </si>
  <si>
    <t>scaling_factor (X)</t>
  </si>
  <si>
    <t>driver (D)</t>
  </si>
  <si>
    <t>type</t>
  </si>
  <si>
    <t>repeating</t>
  </si>
  <si>
    <t xml:space="preserve">period </t>
  </si>
  <si>
    <t>year</t>
  </si>
  <si>
    <t>taxable</t>
  </si>
  <si>
    <t>inflation</t>
  </si>
  <si>
    <t>mult_target</t>
  </si>
  <si>
    <t>one-time</t>
  </si>
  <si>
    <t>-</t>
  </si>
  <si>
    <t>none</t>
  </si>
  <si>
    <t>CAPEX Price</t>
  </si>
  <si>
    <t>CAPEX Cashflow</t>
  </si>
  <si>
    <t>VOM Price</t>
  </si>
  <si>
    <t>VOM Cashflow</t>
  </si>
  <si>
    <t>FOM Price</t>
  </si>
  <si>
    <t>FOM Cashflow</t>
  </si>
  <si>
    <t>TOTAL Cashflow</t>
  </si>
  <si>
    <t>Sales</t>
  </si>
  <si>
    <t>Sales Price</t>
  </si>
  <si>
    <t>Sales Cashflow</t>
  </si>
  <si>
    <t>SOURCE</t>
  </si>
  <si>
    <t>SINK</t>
  </si>
  <si>
    <t>DISCOUNT RATE</t>
  </si>
  <si>
    <t>Cashflow</t>
  </si>
  <si>
    <t>SWEEP VALUE</t>
  </si>
  <si>
    <t>END TIME</t>
  </si>
  <si>
    <t>NUM STEPS</t>
  </si>
  <si>
    <t>PROJECT TIME</t>
  </si>
  <si>
    <t>Inflation</t>
  </si>
  <si>
    <t>depreciate</t>
  </si>
  <si>
    <t>These numbers are hardcoded from the given heron input file. Changing these values will effect final answer.</t>
  </si>
  <si>
    <t>Tax</t>
  </si>
  <si>
    <t>Signal</t>
  </si>
  <si>
    <t>Time</t>
  </si>
  <si>
    <t>These numbers are hardcoded from the given heron input file. Changing these values will affect final answer.</t>
  </si>
  <si>
    <t>YEARS</t>
  </si>
  <si>
    <t>SweepValue1</t>
  </si>
  <si>
    <t>SweepValue2</t>
  </si>
  <si>
    <t>Source Lifetime</t>
  </si>
  <si>
    <t>Depreciation +</t>
  </si>
  <si>
    <t>Depreciation -</t>
  </si>
  <si>
    <t>Tax Fraction</t>
  </si>
  <si>
    <t>Discount Rate</t>
  </si>
  <si>
    <t>Summed Hourly Cashflow (already taxed)</t>
  </si>
  <si>
    <t>SUM</t>
  </si>
  <si>
    <t>Source MACRS</t>
  </si>
  <si>
    <t>MACRS Ammortization 15-Yr</t>
  </si>
  <si>
    <t>CORRECT</t>
  </si>
  <si>
    <t>StartTime=0</t>
  </si>
  <si>
    <t>StartTime=-5</t>
  </si>
  <si>
    <t>StartTime=-20</t>
  </si>
  <si>
    <t>StartTime=-12.5</t>
  </si>
  <si>
    <t>StartTime=-25</t>
  </si>
  <si>
    <t>If StartTime == - LifeTime
results are the same as if StartTime = 0</t>
  </si>
  <si>
    <t>If StartTime == -(LifeTime+dt)
results are the same as if StartTime = -dt</t>
  </si>
  <si>
    <t>Lifetime &lt;= ProjectTime</t>
  </si>
  <si>
    <t>StartTime + Lifetime &gt; ProjectTime
TEAL Errors Out</t>
  </si>
  <si>
    <t xml:space="preserve">StartTime + Lifetime &lt; ProjectTime
Lifetime &gt; ProjectTime
</t>
  </si>
  <si>
    <t xml:space="preserve">Lifetime = 25 </t>
  </si>
  <si>
    <t>StartTime=-10</t>
  </si>
  <si>
    <t>ERROR</t>
  </si>
  <si>
    <t>Lifetime = 40</t>
  </si>
  <si>
    <t>COMPONENT YEARS</t>
  </si>
  <si>
    <t>MACRS YEARS</t>
  </si>
  <si>
    <t>PROJECT YEARS</t>
  </si>
  <si>
    <t>MACRS Coefficient</t>
  </si>
  <si>
    <t>FIRST</t>
  </si>
  <si>
    <t>SECOND</t>
  </si>
  <si>
    <t>MACRS Ammortization 7-Yr %</t>
  </si>
  <si>
    <t>Operations</t>
  </si>
  <si>
    <t>Build</t>
  </si>
  <si>
    <r>
      <t xml:space="preserve">Lifetime &lt;= ProjectTime
</t>
    </r>
    <r>
      <rPr>
        <b/>
        <sz val="16"/>
        <color theme="1"/>
        <rFont val="Calibri"/>
        <family val="2"/>
        <scheme val="minor"/>
      </rPr>
      <t>(Lifetime = 20)</t>
    </r>
  </si>
  <si>
    <r>
      <t xml:space="preserve">StartTime + Lifetime &lt; ProjectTime
Lifetime &gt; ProjectTime
</t>
    </r>
    <r>
      <rPr>
        <b/>
        <sz val="16"/>
        <color theme="1"/>
        <rFont val="Calibri"/>
        <family val="2"/>
        <scheme val="minor"/>
      </rPr>
      <t>(Lifetime = 25)</t>
    </r>
  </si>
  <si>
    <t>MACRS Ammortization 15-Yr %</t>
  </si>
  <si>
    <t>MACRS Coefficient (7yr)</t>
  </si>
  <si>
    <t>MACRS Coefficient (15yr)</t>
  </si>
  <si>
    <t>MACRS 7yr</t>
  </si>
  <si>
    <t>MACRS 15yr</t>
  </si>
  <si>
    <r>
      <t xml:space="preserve">StartTime + Lifetime &gt; ProjectTime
|MACRS|+1 &lt; |StartTime|
</t>
    </r>
    <r>
      <rPr>
        <b/>
        <sz val="16"/>
        <color theme="1"/>
        <rFont val="Calibri"/>
        <family val="2"/>
        <scheme val="minor"/>
      </rPr>
      <t>(Lifetime = 40)</t>
    </r>
  </si>
  <si>
    <t>Simulation</t>
  </si>
  <si>
    <t>Prior to 
Simulation</t>
  </si>
  <si>
    <r>
      <t xml:space="preserve">StartTime + Lifetime &gt; ProjectTime
|MACRS|+1 &gt;= |StartTime|
</t>
    </r>
    <r>
      <rPr>
        <b/>
        <sz val="16"/>
        <color theme="1"/>
        <rFont val="Calibri"/>
        <family val="2"/>
        <scheme val="minor"/>
      </rPr>
      <t>(Lifetime = 40)</t>
    </r>
  </si>
  <si>
    <t>L&lt;T</t>
  </si>
  <si>
    <t>L&gt;T</t>
  </si>
  <si>
    <t>L-S &lt; T</t>
  </si>
  <si>
    <t>L-S &gt; T</t>
  </si>
  <si>
    <t>OK</t>
  </si>
  <si>
    <t>With Depreciation</t>
  </si>
  <si>
    <t>L-S&lt;T</t>
  </si>
  <si>
    <t>M</t>
  </si>
  <si>
    <t>M+1 &lt; |-S|</t>
  </si>
  <si>
    <t>LifeTime</t>
  </si>
  <si>
    <t>StartTime</t>
  </si>
  <si>
    <t>MACRS</t>
  </si>
  <si>
    <t>Current Result:</t>
  </si>
  <si>
    <t>Expected Result:</t>
  </si>
  <si>
    <r>
      <t xml:space="preserve">M+1 </t>
    </r>
    <r>
      <rPr>
        <sz val="11"/>
        <color theme="1"/>
        <rFont val="Calibri"/>
        <family val="2"/>
      </rPr>
      <t xml:space="preserve">≥ </t>
    </r>
    <r>
      <rPr>
        <sz val="11"/>
        <color theme="1"/>
        <rFont val="Calibri"/>
        <family val="2"/>
        <scheme val="minor"/>
      </rPr>
      <t>|-S|</t>
    </r>
  </si>
  <si>
    <t>No Capex</t>
  </si>
  <si>
    <t>No Capex, 
No Amort</t>
  </si>
  <si>
    <t>No Capex,
YES Amort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</si>
</sst>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3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164" fontId="0" fillId="2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164" fontId="0" fillId="2" borderId="0" xfId="0" applyNumberFormat="1" applyFill="1"/>
    <xf numFmtId="0" fontId="3" fillId="2" borderId="0" xfId="0" applyFont="1" applyFill="1"/>
    <xf numFmtId="164" fontId="3" fillId="2" borderId="0" xfId="0" applyNumberFormat="1" applyFont="1" applyFill="1"/>
    <xf numFmtId="0" fontId="0" fillId="2" borderId="1" xfId="0" applyFill="1" applyBorder="1"/>
    <xf numFmtId="164" fontId="0" fillId="2" borderId="1" xfId="1" applyNumberFormat="1" applyFont="1" applyFill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5" borderId="0" xfId="0" applyNumberFormat="1" applyFill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164" fontId="0" fillId="0" borderId="6" xfId="0" applyNumberFormat="1" applyBorder="1" applyAlignment="1">
      <alignment horizontal="center"/>
    </xf>
    <xf numFmtId="9" fontId="0" fillId="5" borderId="0" xfId="2" applyFont="1" applyFill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9" fontId="0" fillId="0" borderId="0" xfId="0" applyNumberFormat="1"/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left"/>
    </xf>
    <xf numFmtId="0" fontId="0" fillId="0" borderId="0" xfId="0" applyNumberFormat="1" applyFont="1" applyBorder="1" applyAlignment="1">
      <alignment horizontal="center"/>
    </xf>
    <xf numFmtId="0" fontId="0" fillId="0" borderId="14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14" xfId="0" applyNumberFormat="1" applyFont="1" applyBorder="1" applyAlignment="1">
      <alignment horizontal="center"/>
    </xf>
    <xf numFmtId="0" fontId="0" fillId="0" borderId="15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44" fontId="0" fillId="0" borderId="11" xfId="1" applyFont="1" applyBorder="1" applyAlignment="1">
      <alignment horizontal="center" vertical="center"/>
    </xf>
    <xf numFmtId="44" fontId="0" fillId="0" borderId="11" xfId="1" applyFont="1" applyBorder="1"/>
    <xf numFmtId="44" fontId="0" fillId="0" borderId="12" xfId="1" applyFont="1" applyBorder="1"/>
    <xf numFmtId="0" fontId="3" fillId="0" borderId="0" xfId="0" applyFont="1" applyBorder="1" applyAlignment="1">
      <alignment horizontal="left"/>
    </xf>
    <xf numFmtId="44" fontId="0" fillId="0" borderId="0" xfId="1" applyFont="1" applyBorder="1" applyAlignment="1">
      <alignment horizontal="center" vertical="center"/>
    </xf>
    <xf numFmtId="44" fontId="0" fillId="0" borderId="0" xfId="1" applyFont="1" applyBorder="1"/>
    <xf numFmtId="0" fontId="3" fillId="0" borderId="16" xfId="0" applyFont="1" applyBorder="1" applyAlignment="1">
      <alignment horizontal="left"/>
    </xf>
    <xf numFmtId="44" fontId="0" fillId="0" borderId="16" xfId="1" applyFont="1" applyBorder="1" applyAlignment="1">
      <alignment horizontal="center" vertical="center"/>
    </xf>
    <xf numFmtId="44" fontId="0" fillId="0" borderId="16" xfId="1" applyFont="1" applyBorder="1"/>
    <xf numFmtId="44" fontId="0" fillId="0" borderId="10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44" fontId="0" fillId="0" borderId="13" xfId="1" applyFont="1" applyBorder="1"/>
    <xf numFmtId="44" fontId="0" fillId="0" borderId="14" xfId="1" applyFont="1" applyBorder="1"/>
    <xf numFmtId="44" fontId="0" fillId="0" borderId="15" xfId="1" applyFont="1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44" fontId="3" fillId="0" borderId="14" xfId="1" applyFont="1" applyBorder="1" applyAlignment="1">
      <alignment horizontal="center" vertical="center"/>
    </xf>
    <xf numFmtId="44" fontId="3" fillId="0" borderId="17" xfId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 textRotation="90"/>
    </xf>
    <xf numFmtId="0" fontId="3" fillId="7" borderId="19" xfId="0" applyFont="1" applyFill="1" applyBorder="1" applyAlignment="1">
      <alignment horizontal="center" vertical="center" textRotation="90"/>
    </xf>
    <xf numFmtId="0" fontId="3" fillId="7" borderId="20" xfId="0" applyFont="1" applyFill="1" applyBorder="1" applyAlignment="1">
      <alignment horizontal="center" vertical="center" textRotation="90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textRotation="90"/>
    </xf>
    <xf numFmtId="0" fontId="3" fillId="8" borderId="19" xfId="0" applyFont="1" applyFill="1" applyBorder="1" applyAlignment="1">
      <alignment horizontal="center" vertical="center" textRotation="90"/>
    </xf>
    <xf numFmtId="0" fontId="3" fillId="8" borderId="20" xfId="0" applyFont="1" applyFill="1" applyBorder="1" applyAlignment="1">
      <alignment horizontal="center" vertical="center" textRotation="90"/>
    </xf>
    <xf numFmtId="0" fontId="3" fillId="0" borderId="10" xfId="0" applyFont="1" applyBorder="1" applyAlignment="1">
      <alignment horizontal="center"/>
    </xf>
    <xf numFmtId="0" fontId="0" fillId="0" borderId="13" xfId="0" applyNumberFormat="1" applyFont="1" applyBorder="1" applyAlignment="1">
      <alignment horizontal="center"/>
    </xf>
    <xf numFmtId="2" fontId="0" fillId="0" borderId="13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0" xfId="2" applyNumberFormat="1" applyFont="1" applyFill="1"/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22" xfId="0" applyFont="1" applyBorder="1" applyAlignment="1">
      <alignment horizontal="center"/>
    </xf>
    <xf numFmtId="0" fontId="3" fillId="11" borderId="10" xfId="0" applyFont="1" applyFill="1" applyBorder="1" applyAlignment="1">
      <alignment horizontal="left"/>
    </xf>
    <xf numFmtId="0" fontId="3" fillId="11" borderId="12" xfId="0" applyFont="1" applyFill="1" applyBorder="1" applyAlignment="1">
      <alignment horizontal="left"/>
    </xf>
    <xf numFmtId="0" fontId="3" fillId="11" borderId="11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/>
    </xf>
    <xf numFmtId="0" fontId="3" fillId="11" borderId="23" xfId="0" applyFont="1" applyFill="1" applyBorder="1" applyAlignment="1">
      <alignment horizontal="center"/>
    </xf>
    <xf numFmtId="0" fontId="3" fillId="11" borderId="21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0" fontId="3" fillId="13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/>
    </xf>
    <xf numFmtId="0" fontId="3" fillId="14" borderId="0" xfId="0" applyFont="1" applyFill="1" applyBorder="1" applyAlignment="1">
      <alignment horizontal="center"/>
    </xf>
    <xf numFmtId="0" fontId="3" fillId="15" borderId="0" xfId="0" applyFont="1" applyFill="1" applyBorder="1" applyAlignment="1">
      <alignment horizontal="center"/>
    </xf>
    <xf numFmtId="0" fontId="3" fillId="17" borderId="0" xfId="0" applyFont="1" applyFill="1" applyBorder="1" applyAlignment="1">
      <alignment horizontal="center"/>
    </xf>
    <xf numFmtId="0" fontId="3" fillId="15" borderId="21" xfId="0" applyFont="1" applyFill="1" applyBorder="1" applyAlignment="1">
      <alignment horizontal="left"/>
    </xf>
    <xf numFmtId="0" fontId="3" fillId="15" borderId="23" xfId="0" applyFont="1" applyFill="1" applyBorder="1" applyAlignment="1">
      <alignment horizontal="left"/>
    </xf>
    <xf numFmtId="0" fontId="3" fillId="15" borderId="10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3" fillId="16" borderId="21" xfId="0" applyFont="1" applyFill="1" applyBorder="1" applyAlignment="1">
      <alignment horizontal="left" vertical="center"/>
    </xf>
    <xf numFmtId="0" fontId="3" fillId="16" borderId="23" xfId="0" applyFont="1" applyFill="1" applyBorder="1" applyAlignment="1">
      <alignment horizontal="left" vertical="center"/>
    </xf>
    <xf numFmtId="0" fontId="0" fillId="16" borderId="21" xfId="0" applyFont="1" applyFill="1" applyBorder="1" applyAlignment="1">
      <alignment horizontal="center" vertical="center"/>
    </xf>
    <xf numFmtId="0" fontId="0" fillId="16" borderId="22" xfId="0" applyFont="1" applyFill="1" applyBorder="1" applyAlignment="1">
      <alignment horizontal="center" vertical="center"/>
    </xf>
    <xf numFmtId="0" fontId="0" fillId="16" borderId="2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14" borderId="24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5" borderId="25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 vertical="center"/>
    </xf>
    <xf numFmtId="0" fontId="3" fillId="17" borderId="25" xfId="0" applyFont="1" applyFill="1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3" fillId="17" borderId="24" xfId="0" applyFont="1" applyFill="1" applyBorder="1" applyAlignment="1">
      <alignment horizontal="center" vertical="center"/>
    </xf>
    <xf numFmtId="44" fontId="0" fillId="0" borderId="0" xfId="0" applyNumberFormat="1"/>
    <xf numFmtId="0" fontId="3" fillId="19" borderId="18" xfId="0" applyFont="1" applyFill="1" applyBorder="1" applyAlignment="1">
      <alignment horizontal="center" vertical="center" textRotation="90"/>
    </xf>
    <xf numFmtId="0" fontId="3" fillId="19" borderId="19" xfId="0" applyFont="1" applyFill="1" applyBorder="1" applyAlignment="1">
      <alignment horizontal="center" vertical="center" textRotation="90"/>
    </xf>
    <xf numFmtId="0" fontId="3" fillId="19" borderId="20" xfId="0" applyFont="1" applyFill="1" applyBorder="1" applyAlignment="1">
      <alignment horizontal="center" vertical="center" textRotation="90"/>
    </xf>
    <xf numFmtId="0" fontId="8" fillId="0" borderId="10" xfId="0" applyFont="1" applyBorder="1"/>
    <xf numFmtId="0" fontId="0" fillId="0" borderId="12" xfId="0" applyBorder="1"/>
    <xf numFmtId="0" fontId="3" fillId="0" borderId="13" xfId="0" applyFont="1" applyBorder="1" applyAlignment="1">
      <alignment horizontal="right"/>
    </xf>
    <xf numFmtId="0" fontId="0" fillId="0" borderId="14" xfId="0" applyBorder="1"/>
    <xf numFmtId="0" fontId="8" fillId="0" borderId="13" xfId="0" applyFont="1" applyBorder="1"/>
    <xf numFmtId="0" fontId="3" fillId="0" borderId="15" xfId="0" applyFont="1" applyBorder="1" applyAlignment="1">
      <alignment horizontal="right"/>
    </xf>
    <xf numFmtId="0" fontId="0" fillId="0" borderId="17" xfId="0" applyBorder="1"/>
    <xf numFmtId="0" fontId="0" fillId="17" borderId="11" xfId="0" applyFill="1" applyBorder="1"/>
    <xf numFmtId="0" fontId="0" fillId="17" borderId="12" xfId="0" applyFill="1" applyBorder="1"/>
    <xf numFmtId="0" fontId="0" fillId="17" borderId="0" xfId="0" applyFill="1" applyBorder="1"/>
    <xf numFmtId="0" fontId="0" fillId="17" borderId="14" xfId="0" applyFill="1" applyBorder="1"/>
    <xf numFmtId="0" fontId="3" fillId="17" borderId="11" xfId="0" applyFont="1" applyFill="1" applyBorder="1" applyAlignment="1">
      <alignment horizontal="left"/>
    </xf>
    <xf numFmtId="44" fontId="0" fillId="17" borderId="10" xfId="1" applyFont="1" applyFill="1" applyBorder="1" applyAlignment="1">
      <alignment horizontal="center" vertical="center"/>
    </xf>
    <xf numFmtId="44" fontId="0" fillId="17" borderId="11" xfId="1" applyFont="1" applyFill="1" applyBorder="1"/>
    <xf numFmtId="44" fontId="0" fillId="17" borderId="12" xfId="1" applyFont="1" applyFill="1" applyBorder="1"/>
    <xf numFmtId="0" fontId="3" fillId="12" borderId="11" xfId="0" applyFont="1" applyFill="1" applyBorder="1" applyAlignment="1">
      <alignment horizontal="center"/>
    </xf>
    <xf numFmtId="0" fontId="0" fillId="12" borderId="22" xfId="0" applyFont="1" applyFill="1" applyBorder="1" applyAlignment="1">
      <alignment horizontal="center" vertical="center"/>
    </xf>
    <xf numFmtId="0" fontId="7" fillId="20" borderId="10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0" fontId="7" fillId="20" borderId="15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20" borderId="17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left"/>
    </xf>
    <xf numFmtId="0" fontId="3" fillId="21" borderId="12" xfId="0" applyFont="1" applyFill="1" applyBorder="1" applyAlignment="1">
      <alignment horizontal="left"/>
    </xf>
    <xf numFmtId="0" fontId="3" fillId="21" borderId="11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center"/>
    </xf>
    <xf numFmtId="44" fontId="0" fillId="17" borderId="11" xfId="1" applyFont="1" applyFill="1" applyBorder="1" applyAlignment="1">
      <alignment horizontal="center" vertical="center"/>
    </xf>
    <xf numFmtId="44" fontId="0" fillId="17" borderId="12" xfId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20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10" borderId="26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/>
    </xf>
    <xf numFmtId="0" fontId="7" fillId="22" borderId="10" xfId="0" applyFont="1" applyFill="1" applyBorder="1" applyAlignment="1">
      <alignment horizontal="center" vertical="center" wrapText="1"/>
    </xf>
    <xf numFmtId="0" fontId="7" fillId="22" borderId="11" xfId="0" applyFont="1" applyFill="1" applyBorder="1" applyAlignment="1">
      <alignment horizontal="center" vertical="center"/>
    </xf>
    <xf numFmtId="0" fontId="7" fillId="22" borderId="12" xfId="0" applyFont="1" applyFill="1" applyBorder="1" applyAlignment="1">
      <alignment horizontal="center" vertical="center"/>
    </xf>
    <xf numFmtId="0" fontId="7" fillId="22" borderId="15" xfId="0" applyFont="1" applyFill="1" applyBorder="1" applyAlignment="1">
      <alignment horizontal="center" vertical="center"/>
    </xf>
    <xf numFmtId="0" fontId="7" fillId="22" borderId="16" xfId="0" applyFont="1" applyFill="1" applyBorder="1" applyAlignment="1">
      <alignment horizontal="center" vertical="center"/>
    </xf>
    <xf numFmtId="0" fontId="7" fillId="22" borderId="17" xfId="0" applyFont="1" applyFill="1" applyBorder="1" applyAlignment="1">
      <alignment horizontal="center" vertical="center"/>
    </xf>
    <xf numFmtId="0" fontId="3" fillId="22" borderId="18" xfId="0" applyFont="1" applyFill="1" applyBorder="1" applyAlignment="1">
      <alignment horizontal="center" vertical="center" textRotation="90"/>
    </xf>
    <xf numFmtId="0" fontId="3" fillId="22" borderId="19" xfId="0" applyFont="1" applyFill="1" applyBorder="1" applyAlignment="1">
      <alignment horizontal="center" vertical="center" textRotation="90"/>
    </xf>
    <xf numFmtId="0" fontId="3" fillId="22" borderId="20" xfId="0" applyFont="1" applyFill="1" applyBorder="1" applyAlignment="1">
      <alignment horizontal="center" vertical="center" textRotation="90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12" borderId="10" xfId="0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0" fontId="0" fillId="12" borderId="21" xfId="0" applyFont="1" applyFill="1" applyBorder="1" applyAlignment="1">
      <alignment horizontal="center" vertical="center"/>
    </xf>
    <xf numFmtId="0" fontId="0" fillId="12" borderId="23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/>
    </xf>
    <xf numFmtId="0" fontId="3" fillId="15" borderId="28" xfId="0" applyFont="1" applyFill="1" applyBorder="1" applyAlignment="1">
      <alignment horizontal="center"/>
    </xf>
    <xf numFmtId="0" fontId="3" fillId="17" borderId="28" xfId="0" applyFont="1" applyFill="1" applyBorder="1" applyAlignment="1">
      <alignment horizontal="center"/>
    </xf>
    <xf numFmtId="0" fontId="3" fillId="17" borderId="2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3" borderId="18" xfId="0" applyFont="1" applyFill="1" applyBorder="1" applyAlignment="1">
      <alignment horizontal="center" vertical="center"/>
    </xf>
    <xf numFmtId="0" fontId="3" fillId="24" borderId="11" xfId="0" applyFont="1" applyFill="1" applyBorder="1" applyAlignment="1">
      <alignment horizontal="center" vertical="center"/>
    </xf>
    <xf numFmtId="0" fontId="3" fillId="24" borderId="12" xfId="0" applyFont="1" applyFill="1" applyBorder="1" applyAlignment="1">
      <alignment horizontal="center" vertical="center"/>
    </xf>
    <xf numFmtId="0" fontId="9" fillId="23" borderId="19" xfId="0" applyFont="1" applyFill="1" applyBorder="1" applyAlignment="1">
      <alignment horizontal="center" vertical="center"/>
    </xf>
    <xf numFmtId="0" fontId="9" fillId="20" borderId="16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center" vertical="center"/>
    </xf>
    <xf numFmtId="0" fontId="3" fillId="24" borderId="0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/>
    </xf>
    <xf numFmtId="0" fontId="9" fillId="23" borderId="17" xfId="0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right"/>
    </xf>
    <xf numFmtId="0" fontId="3" fillId="24" borderId="14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24" borderId="10" xfId="0" applyFont="1" applyFill="1" applyBorder="1" applyAlignment="1">
      <alignment horizontal="right"/>
    </xf>
    <xf numFmtId="0" fontId="3" fillId="24" borderId="12" xfId="0" applyFont="1" applyFill="1" applyBorder="1" applyAlignment="1">
      <alignment horizontal="right"/>
    </xf>
    <xf numFmtId="0" fontId="3" fillId="0" borderId="23" xfId="0" applyFont="1" applyBorder="1" applyAlignment="1">
      <alignment horizontal="center"/>
    </xf>
    <xf numFmtId="0" fontId="1" fillId="16" borderId="17" xfId="0" applyFont="1" applyFill="1" applyBorder="1" applyAlignment="1">
      <alignment horizontal="center" vertical="center"/>
    </xf>
    <xf numFmtId="0" fontId="1" fillId="16" borderId="21" xfId="0" applyFont="1" applyFill="1" applyBorder="1" applyAlignment="1">
      <alignment horizontal="center"/>
    </xf>
    <xf numFmtId="0" fontId="1" fillId="15" borderId="21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horizontal="center" vertical="center"/>
    </xf>
    <xf numFmtId="0" fontId="3" fillId="18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center" vertical="center"/>
    </xf>
    <xf numFmtId="0" fontId="3" fillId="18" borderId="15" xfId="0" applyFont="1" applyFill="1" applyBorder="1" applyAlignment="1">
      <alignment horizontal="center" vertical="center"/>
    </xf>
    <xf numFmtId="0" fontId="3" fillId="18" borderId="1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18" borderId="10" xfId="0" applyFont="1" applyFill="1" applyBorder="1" applyAlignment="1">
      <alignment horizontal="center"/>
    </xf>
    <xf numFmtId="0" fontId="3" fillId="18" borderId="12" xfId="0" applyFont="1" applyFill="1" applyBorder="1" applyAlignment="1">
      <alignment horizontal="center"/>
    </xf>
    <xf numFmtId="0" fontId="9" fillId="20" borderId="0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0361-7298-9048-9EE6-65784B82D934}">
  <dimension ref="A1:X76"/>
  <sheetViews>
    <sheetView workbookViewId="0">
      <selection activeCell="J42" sqref="J42"/>
    </sheetView>
  </sheetViews>
  <sheetFormatPr defaultColWidth="11" defaultRowHeight="15.75" x14ac:dyDescent="0.25"/>
  <cols>
    <col min="1" max="1" width="18.375" bestFit="1" customWidth="1"/>
    <col min="2" max="2" width="14.125" customWidth="1"/>
    <col min="3" max="3" width="12.125" bestFit="1" customWidth="1"/>
  </cols>
  <sheetData>
    <row r="1" spans="1:23" x14ac:dyDescent="0.25">
      <c r="A1" s="5" t="s">
        <v>0</v>
      </c>
      <c r="B1" t="s">
        <v>5</v>
      </c>
    </row>
    <row r="2" spans="1:23" x14ac:dyDescent="0.25">
      <c r="A2" s="5" t="s">
        <v>37</v>
      </c>
      <c r="B2" s="7">
        <v>1</v>
      </c>
    </row>
    <row r="3" spans="1:23" x14ac:dyDescent="0.25">
      <c r="A3" s="5"/>
    </row>
    <row r="4" spans="1:23" x14ac:dyDescent="0.25">
      <c r="A4" s="5" t="s">
        <v>38</v>
      </c>
      <c r="B4">
        <v>2</v>
      </c>
    </row>
    <row r="5" spans="1:23" x14ac:dyDescent="0.25">
      <c r="A5" s="5" t="s">
        <v>39</v>
      </c>
      <c r="B5">
        <v>21</v>
      </c>
    </row>
    <row r="6" spans="1:23" x14ac:dyDescent="0.25">
      <c r="A6" s="5" t="s">
        <v>40</v>
      </c>
      <c r="B6">
        <v>20</v>
      </c>
    </row>
    <row r="7" spans="1:23" x14ac:dyDescent="0.25">
      <c r="A7" s="5" t="s">
        <v>35</v>
      </c>
      <c r="B7" s="22">
        <v>0.08</v>
      </c>
    </row>
    <row r="8" spans="1:23" x14ac:dyDescent="0.25">
      <c r="A8" s="5" t="s">
        <v>41</v>
      </c>
      <c r="B8">
        <v>0</v>
      </c>
    </row>
    <row r="9" spans="1:23" x14ac:dyDescent="0.25">
      <c r="A9" s="5" t="s">
        <v>44</v>
      </c>
      <c r="B9" s="22">
        <v>0.25</v>
      </c>
    </row>
    <row r="11" spans="1:23" x14ac:dyDescent="0.25">
      <c r="A11" s="5" t="s">
        <v>1</v>
      </c>
    </row>
    <row r="12" spans="1:23" x14ac:dyDescent="0.25">
      <c r="B12" s="5" t="s">
        <v>46</v>
      </c>
      <c r="C12">
        <v>0</v>
      </c>
      <c r="D12">
        <v>0.1</v>
      </c>
      <c r="E12">
        <v>0.2</v>
      </c>
      <c r="F12">
        <v>0.3</v>
      </c>
      <c r="G12">
        <v>0.4</v>
      </c>
      <c r="H12">
        <v>0.5</v>
      </c>
      <c r="I12">
        <v>0.6</v>
      </c>
      <c r="J12">
        <v>0.7</v>
      </c>
      <c r="K12">
        <v>0.8</v>
      </c>
      <c r="L12">
        <v>0.9</v>
      </c>
      <c r="M12">
        <v>1</v>
      </c>
      <c r="N12">
        <v>1.1000000000000001</v>
      </c>
      <c r="O12">
        <v>1.2</v>
      </c>
      <c r="P12">
        <v>1.3</v>
      </c>
      <c r="Q12">
        <v>1.4</v>
      </c>
      <c r="R12">
        <v>1.5</v>
      </c>
      <c r="S12">
        <v>1.6</v>
      </c>
      <c r="T12">
        <v>1.7</v>
      </c>
      <c r="U12">
        <v>1.8</v>
      </c>
      <c r="V12">
        <v>1.9</v>
      </c>
      <c r="W12">
        <v>2</v>
      </c>
    </row>
    <row r="13" spans="1:23" x14ac:dyDescent="0.25">
      <c r="B13" s="5" t="s">
        <v>45</v>
      </c>
      <c r="C13" s="1">
        <v>-2.5120128297200001E-10</v>
      </c>
      <c r="D13">
        <v>6.2790520012699996E-2</v>
      </c>
      <c r="E13">
        <v>0.12533323400800001</v>
      </c>
      <c r="F13">
        <v>0.187381314977</v>
      </c>
      <c r="G13">
        <v>0.248689886838</v>
      </c>
      <c r="H13">
        <v>0.30901699472100003</v>
      </c>
      <c r="I13">
        <v>0.36812455240399999</v>
      </c>
      <c r="J13">
        <v>0.42577929116000002</v>
      </c>
      <c r="K13">
        <v>0.48175367469199998</v>
      </c>
      <c r="L13">
        <v>0.53582679451399995</v>
      </c>
      <c r="M13">
        <v>0.58778525289100003</v>
      </c>
      <c r="N13">
        <v>0.63742399032899999</v>
      </c>
      <c r="O13">
        <v>0.68454710626299997</v>
      </c>
      <c r="P13">
        <v>0.72896862687899999</v>
      </c>
      <c r="Q13">
        <v>0.77051324301299995</v>
      </c>
      <c r="R13">
        <v>0.80901699400100002</v>
      </c>
      <c r="S13">
        <v>0.84432792597799999</v>
      </c>
      <c r="T13">
        <v>0.87630668031000003</v>
      </c>
      <c r="U13">
        <v>0.90482705189799995</v>
      </c>
      <c r="V13">
        <v>0.929776485406</v>
      </c>
      <c r="W13">
        <v>0.95105651674500002</v>
      </c>
    </row>
    <row r="15" spans="1:23" x14ac:dyDescent="0.25">
      <c r="A15" s="5" t="s">
        <v>33</v>
      </c>
      <c r="B15" s="4" t="s">
        <v>3</v>
      </c>
      <c r="C15" s="4">
        <f>$B$2</f>
        <v>1</v>
      </c>
      <c r="D15" s="4">
        <f t="shared" ref="D15:W15" si="0">$B$2</f>
        <v>1</v>
      </c>
      <c r="E15" s="4">
        <f t="shared" si="0"/>
        <v>1</v>
      </c>
      <c r="F15" s="4">
        <f t="shared" si="0"/>
        <v>1</v>
      </c>
      <c r="G15" s="4">
        <f t="shared" si="0"/>
        <v>1</v>
      </c>
      <c r="H15" s="4">
        <f t="shared" si="0"/>
        <v>1</v>
      </c>
      <c r="I15" s="4">
        <f t="shared" si="0"/>
        <v>1</v>
      </c>
      <c r="J15" s="4">
        <f t="shared" si="0"/>
        <v>1</v>
      </c>
      <c r="K15" s="4">
        <f t="shared" si="0"/>
        <v>1</v>
      </c>
      <c r="L15" s="4">
        <f t="shared" si="0"/>
        <v>1</v>
      </c>
      <c r="M15" s="4">
        <f t="shared" si="0"/>
        <v>1</v>
      </c>
      <c r="N15" s="4">
        <f t="shared" si="0"/>
        <v>1</v>
      </c>
      <c r="O15" s="4">
        <f t="shared" si="0"/>
        <v>1</v>
      </c>
      <c r="P15" s="4">
        <f t="shared" si="0"/>
        <v>1</v>
      </c>
      <c r="Q15" s="4">
        <f t="shared" si="0"/>
        <v>1</v>
      </c>
      <c r="R15" s="4">
        <f t="shared" si="0"/>
        <v>1</v>
      </c>
      <c r="S15" s="4">
        <f t="shared" si="0"/>
        <v>1</v>
      </c>
      <c r="T15" s="4">
        <f t="shared" si="0"/>
        <v>1</v>
      </c>
      <c r="U15" s="4">
        <f t="shared" si="0"/>
        <v>1</v>
      </c>
      <c r="V15" s="4">
        <f t="shared" si="0"/>
        <v>1</v>
      </c>
      <c r="W15" s="4">
        <f t="shared" si="0"/>
        <v>1</v>
      </c>
    </row>
    <row r="16" spans="1:23" x14ac:dyDescent="0.25">
      <c r="B16" s="7" t="s">
        <v>23</v>
      </c>
      <c r="C16" s="8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</row>
    <row r="17" spans="1:24" x14ac:dyDescent="0.25">
      <c r="B17" s="2" t="s">
        <v>24</v>
      </c>
      <c r="C17" s="6">
        <f t="shared" ref="C17:W17" si="1">C16*(C15/$B$35)^$B$36</f>
        <v>0</v>
      </c>
      <c r="D17" s="9">
        <f t="shared" si="1"/>
        <v>0</v>
      </c>
      <c r="E17" s="9">
        <f t="shared" si="1"/>
        <v>0</v>
      </c>
      <c r="F17" s="9">
        <f t="shared" si="1"/>
        <v>0</v>
      </c>
      <c r="G17" s="9">
        <f t="shared" si="1"/>
        <v>0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>
        <f t="shared" si="1"/>
        <v>0</v>
      </c>
      <c r="M17" s="9">
        <f t="shared" si="1"/>
        <v>0</v>
      </c>
      <c r="N17" s="9">
        <f t="shared" si="1"/>
        <v>0</v>
      </c>
      <c r="O17" s="9">
        <f t="shared" si="1"/>
        <v>0</v>
      </c>
      <c r="P17" s="9">
        <f t="shared" si="1"/>
        <v>0</v>
      </c>
      <c r="Q17" s="9">
        <f t="shared" si="1"/>
        <v>0</v>
      </c>
      <c r="R17" s="9">
        <f t="shared" si="1"/>
        <v>0</v>
      </c>
      <c r="S17" s="9">
        <f t="shared" si="1"/>
        <v>0</v>
      </c>
      <c r="T17" s="9">
        <f t="shared" si="1"/>
        <v>0</v>
      </c>
      <c r="U17" s="9">
        <f t="shared" si="1"/>
        <v>0</v>
      </c>
      <c r="V17" s="9">
        <f t="shared" si="1"/>
        <v>0</v>
      </c>
      <c r="W17" s="9">
        <f t="shared" si="1"/>
        <v>0</v>
      </c>
    </row>
    <row r="18" spans="1:24" x14ac:dyDescent="0.25">
      <c r="B18" s="7" t="s">
        <v>27</v>
      </c>
      <c r="C18" s="8">
        <f>$B$46</f>
        <v>-100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</row>
    <row r="19" spans="1:24" x14ac:dyDescent="0.25">
      <c r="B19" s="2" t="s">
        <v>28</v>
      </c>
      <c r="C19" s="6">
        <f>C18*(C15/$B$47)^$B$48</f>
        <v>-10.023052380778998</v>
      </c>
      <c r="D19" s="9">
        <f t="shared" ref="D19:W19" si="2">(D15*D16)+(D15*D17)+(D15*D18)</f>
        <v>0</v>
      </c>
      <c r="E19" s="9">
        <f t="shared" si="2"/>
        <v>0</v>
      </c>
      <c r="F19" s="9">
        <f t="shared" si="2"/>
        <v>0</v>
      </c>
      <c r="G19" s="9">
        <f t="shared" si="2"/>
        <v>0</v>
      </c>
      <c r="H19" s="9">
        <f t="shared" si="2"/>
        <v>0</v>
      </c>
      <c r="I19" s="9">
        <f t="shared" si="2"/>
        <v>0</v>
      </c>
      <c r="J19" s="9">
        <f t="shared" si="2"/>
        <v>0</v>
      </c>
      <c r="K19" s="9">
        <f t="shared" si="2"/>
        <v>0</v>
      </c>
      <c r="L19" s="9">
        <f t="shared" si="2"/>
        <v>0</v>
      </c>
      <c r="M19" s="9">
        <f t="shared" si="2"/>
        <v>0</v>
      </c>
      <c r="N19" s="9">
        <f t="shared" si="2"/>
        <v>0</v>
      </c>
      <c r="O19" s="9">
        <f t="shared" si="2"/>
        <v>0</v>
      </c>
      <c r="P19" s="9">
        <f t="shared" si="2"/>
        <v>0</v>
      </c>
      <c r="Q19" s="9">
        <f t="shared" si="2"/>
        <v>0</v>
      </c>
      <c r="R19" s="9">
        <f t="shared" si="2"/>
        <v>0</v>
      </c>
      <c r="S19" s="9">
        <f t="shared" si="2"/>
        <v>0</v>
      </c>
      <c r="T19" s="9">
        <f t="shared" si="2"/>
        <v>0</v>
      </c>
      <c r="U19" s="9">
        <f t="shared" si="2"/>
        <v>0</v>
      </c>
      <c r="V19" s="9">
        <f t="shared" si="2"/>
        <v>0</v>
      </c>
      <c r="W19" s="9">
        <f t="shared" si="2"/>
        <v>0</v>
      </c>
    </row>
    <row r="20" spans="1:24" x14ac:dyDescent="0.25">
      <c r="B20" s="7" t="s">
        <v>25</v>
      </c>
      <c r="C20" s="8">
        <f>$B$57</f>
        <v>-1</v>
      </c>
      <c r="D20" s="16">
        <f>$B$57</f>
        <v>-1</v>
      </c>
      <c r="E20" s="16">
        <f>$B$57</f>
        <v>-1</v>
      </c>
      <c r="F20" s="16">
        <f>$B$57</f>
        <v>-1</v>
      </c>
      <c r="G20" s="16">
        <f>$B$57</f>
        <v>-1</v>
      </c>
      <c r="H20" s="16">
        <f>$B$57</f>
        <v>-1</v>
      </c>
      <c r="I20" s="16">
        <f>$B$57</f>
        <v>-1</v>
      </c>
      <c r="J20" s="16">
        <f>$B$57</f>
        <v>-1</v>
      </c>
      <c r="K20" s="16">
        <f>$B$57</f>
        <v>-1</v>
      </c>
      <c r="L20" s="16">
        <f>$B$57</f>
        <v>-1</v>
      </c>
      <c r="M20" s="16">
        <f>$B$57</f>
        <v>-1</v>
      </c>
      <c r="N20" s="16">
        <f>$B$57</f>
        <v>-1</v>
      </c>
      <c r="O20" s="16">
        <f>$B$57</f>
        <v>-1</v>
      </c>
      <c r="P20" s="16">
        <f>$B$57</f>
        <v>-1</v>
      </c>
      <c r="Q20" s="16">
        <f>$B$57</f>
        <v>-1</v>
      </c>
      <c r="R20" s="16">
        <f>$B$57</f>
        <v>-1</v>
      </c>
      <c r="S20" s="16">
        <f>$B$57</f>
        <v>-1</v>
      </c>
      <c r="T20" s="16">
        <f>$B$57</f>
        <v>-1</v>
      </c>
      <c r="U20" s="16">
        <f>$B$57</f>
        <v>-1</v>
      </c>
      <c r="V20" s="16">
        <f>$B$57</f>
        <v>-1</v>
      </c>
      <c r="W20" s="16">
        <f>$B$57</f>
        <v>-1</v>
      </c>
    </row>
    <row r="21" spans="1:24" x14ac:dyDescent="0.25">
      <c r="B21" s="12" t="s">
        <v>26</v>
      </c>
      <c r="C21" s="13">
        <f>(C20*(C15/1)^1)*(1-$B$9)</f>
        <v>-0.75</v>
      </c>
      <c r="D21" s="13">
        <f t="shared" ref="D21:W21" si="3">(D20*(D15/1)^1)*(1-$B$9)</f>
        <v>-0.75</v>
      </c>
      <c r="E21" s="13">
        <f t="shared" si="3"/>
        <v>-0.75</v>
      </c>
      <c r="F21" s="13">
        <f t="shared" si="3"/>
        <v>-0.75</v>
      </c>
      <c r="G21" s="13">
        <f t="shared" si="3"/>
        <v>-0.75</v>
      </c>
      <c r="H21" s="13">
        <f t="shared" si="3"/>
        <v>-0.75</v>
      </c>
      <c r="I21" s="13">
        <f t="shared" si="3"/>
        <v>-0.75</v>
      </c>
      <c r="J21" s="13">
        <f t="shared" si="3"/>
        <v>-0.75</v>
      </c>
      <c r="K21" s="13">
        <f t="shared" si="3"/>
        <v>-0.75</v>
      </c>
      <c r="L21" s="13">
        <f t="shared" si="3"/>
        <v>-0.75</v>
      </c>
      <c r="M21" s="13">
        <f t="shared" si="3"/>
        <v>-0.75</v>
      </c>
      <c r="N21" s="13">
        <f t="shared" si="3"/>
        <v>-0.75</v>
      </c>
      <c r="O21" s="13">
        <f t="shared" si="3"/>
        <v>-0.75</v>
      </c>
      <c r="P21" s="13">
        <f t="shared" si="3"/>
        <v>-0.75</v>
      </c>
      <c r="Q21" s="13">
        <f t="shared" si="3"/>
        <v>-0.75</v>
      </c>
      <c r="R21" s="13">
        <f t="shared" si="3"/>
        <v>-0.75</v>
      </c>
      <c r="S21" s="13">
        <f t="shared" si="3"/>
        <v>-0.75</v>
      </c>
      <c r="T21" s="13">
        <f t="shared" si="3"/>
        <v>-0.75</v>
      </c>
      <c r="U21" s="13">
        <f t="shared" si="3"/>
        <v>-0.75</v>
      </c>
      <c r="V21" s="13">
        <f t="shared" si="3"/>
        <v>-0.75</v>
      </c>
      <c r="W21" s="13">
        <f t="shared" si="3"/>
        <v>-0.75</v>
      </c>
      <c r="X21" s="14" t="s">
        <v>2</v>
      </c>
    </row>
    <row r="22" spans="1:24" x14ac:dyDescent="0.25">
      <c r="B22" s="10" t="s">
        <v>29</v>
      </c>
      <c r="C22" s="11">
        <f>C21+C19+C17</f>
        <v>-10.773052380778998</v>
      </c>
      <c r="D22" s="11">
        <f t="shared" ref="D22:W22" si="4">D21+D19+D17</f>
        <v>-0.75</v>
      </c>
      <c r="E22" s="11">
        <f t="shared" si="4"/>
        <v>-0.75</v>
      </c>
      <c r="F22" s="11">
        <f t="shared" si="4"/>
        <v>-0.75</v>
      </c>
      <c r="G22" s="11">
        <f t="shared" si="4"/>
        <v>-0.75</v>
      </c>
      <c r="H22" s="11">
        <f t="shared" si="4"/>
        <v>-0.75</v>
      </c>
      <c r="I22" s="11">
        <f t="shared" si="4"/>
        <v>-0.75</v>
      </c>
      <c r="J22" s="11">
        <f t="shared" si="4"/>
        <v>-0.75</v>
      </c>
      <c r="K22" s="11">
        <f t="shared" si="4"/>
        <v>-0.75</v>
      </c>
      <c r="L22" s="11">
        <f t="shared" si="4"/>
        <v>-0.75</v>
      </c>
      <c r="M22" s="11">
        <f t="shared" si="4"/>
        <v>-0.75</v>
      </c>
      <c r="N22" s="11">
        <f t="shared" si="4"/>
        <v>-0.75</v>
      </c>
      <c r="O22" s="11">
        <f t="shared" si="4"/>
        <v>-0.75</v>
      </c>
      <c r="P22" s="11">
        <f t="shared" si="4"/>
        <v>-0.75</v>
      </c>
      <c r="Q22" s="11">
        <f t="shared" si="4"/>
        <v>-0.75</v>
      </c>
      <c r="R22" s="11">
        <f t="shared" si="4"/>
        <v>-0.75</v>
      </c>
      <c r="S22" s="11">
        <f t="shared" si="4"/>
        <v>-0.75</v>
      </c>
      <c r="T22" s="11">
        <f t="shared" si="4"/>
        <v>-0.75</v>
      </c>
      <c r="U22" s="11">
        <f t="shared" si="4"/>
        <v>-0.75</v>
      </c>
      <c r="V22" s="11">
        <f t="shared" si="4"/>
        <v>-0.75</v>
      </c>
      <c r="W22" s="11">
        <f t="shared" si="4"/>
        <v>-0.75</v>
      </c>
      <c r="X22" s="15">
        <f>SUM(C22:W22)</f>
        <v>-25.773052380778999</v>
      </c>
    </row>
    <row r="24" spans="1:24" x14ac:dyDescent="0.25">
      <c r="A24" s="5" t="s">
        <v>34</v>
      </c>
      <c r="B24" s="3" t="s">
        <v>3</v>
      </c>
      <c r="C24" s="3">
        <f>-$B$2</f>
        <v>-1</v>
      </c>
      <c r="D24" s="3">
        <f t="shared" ref="D24:W24" si="5">-$B$2</f>
        <v>-1</v>
      </c>
      <c r="E24" s="3">
        <f t="shared" si="5"/>
        <v>-1</v>
      </c>
      <c r="F24" s="3">
        <f t="shared" si="5"/>
        <v>-1</v>
      </c>
      <c r="G24" s="3">
        <f t="shared" si="5"/>
        <v>-1</v>
      </c>
      <c r="H24" s="3">
        <f t="shared" si="5"/>
        <v>-1</v>
      </c>
      <c r="I24" s="3">
        <f t="shared" si="5"/>
        <v>-1</v>
      </c>
      <c r="J24" s="3">
        <f t="shared" si="5"/>
        <v>-1</v>
      </c>
      <c r="K24" s="3">
        <f t="shared" si="5"/>
        <v>-1</v>
      </c>
      <c r="L24" s="3">
        <f t="shared" si="5"/>
        <v>-1</v>
      </c>
      <c r="M24" s="3">
        <f t="shared" si="5"/>
        <v>-1</v>
      </c>
      <c r="N24" s="3">
        <f t="shared" si="5"/>
        <v>-1</v>
      </c>
      <c r="O24" s="3">
        <f t="shared" si="5"/>
        <v>-1</v>
      </c>
      <c r="P24" s="3">
        <f t="shared" si="5"/>
        <v>-1</v>
      </c>
      <c r="Q24" s="3">
        <f t="shared" si="5"/>
        <v>-1</v>
      </c>
      <c r="R24" s="3">
        <f t="shared" si="5"/>
        <v>-1</v>
      </c>
      <c r="S24" s="3">
        <f t="shared" si="5"/>
        <v>-1</v>
      </c>
      <c r="T24" s="3">
        <f t="shared" si="5"/>
        <v>-1</v>
      </c>
      <c r="U24" s="3">
        <f t="shared" si="5"/>
        <v>-1</v>
      </c>
      <c r="V24" s="3">
        <f t="shared" si="5"/>
        <v>-1</v>
      </c>
      <c r="W24" s="3">
        <f t="shared" si="5"/>
        <v>-1</v>
      </c>
    </row>
    <row r="25" spans="1:24" x14ac:dyDescent="0.25">
      <c r="B25" s="7" t="s">
        <v>31</v>
      </c>
      <c r="C25" s="16">
        <f>$B$68</f>
        <v>-31.400000000000002</v>
      </c>
      <c r="D25" s="16">
        <f t="shared" ref="D25:W25" si="6">10 * -3.14</f>
        <v>-31.400000000000002</v>
      </c>
      <c r="E25" s="16">
        <f t="shared" si="6"/>
        <v>-31.400000000000002</v>
      </c>
      <c r="F25" s="16">
        <f t="shared" si="6"/>
        <v>-31.400000000000002</v>
      </c>
      <c r="G25" s="16">
        <f t="shared" si="6"/>
        <v>-31.400000000000002</v>
      </c>
      <c r="H25" s="16">
        <f t="shared" si="6"/>
        <v>-31.400000000000002</v>
      </c>
      <c r="I25" s="16">
        <f t="shared" si="6"/>
        <v>-31.400000000000002</v>
      </c>
      <c r="J25" s="16">
        <f t="shared" si="6"/>
        <v>-31.400000000000002</v>
      </c>
      <c r="K25" s="16">
        <f t="shared" si="6"/>
        <v>-31.400000000000002</v>
      </c>
      <c r="L25" s="16">
        <f t="shared" si="6"/>
        <v>-31.400000000000002</v>
      </c>
      <c r="M25" s="16">
        <f t="shared" si="6"/>
        <v>-31.400000000000002</v>
      </c>
      <c r="N25" s="16">
        <f t="shared" si="6"/>
        <v>-31.400000000000002</v>
      </c>
      <c r="O25" s="16">
        <f t="shared" si="6"/>
        <v>-31.400000000000002</v>
      </c>
      <c r="P25" s="16">
        <f t="shared" si="6"/>
        <v>-31.400000000000002</v>
      </c>
      <c r="Q25" s="16">
        <f t="shared" si="6"/>
        <v>-31.400000000000002</v>
      </c>
      <c r="R25" s="16">
        <f t="shared" si="6"/>
        <v>-31.400000000000002</v>
      </c>
      <c r="S25" s="16">
        <f t="shared" si="6"/>
        <v>-31.400000000000002</v>
      </c>
      <c r="T25" s="16">
        <f t="shared" si="6"/>
        <v>-31.400000000000002</v>
      </c>
      <c r="U25" s="16">
        <f t="shared" si="6"/>
        <v>-31.400000000000002</v>
      </c>
      <c r="V25" s="16">
        <f t="shared" si="6"/>
        <v>-31.400000000000002</v>
      </c>
      <c r="W25" s="16">
        <f t="shared" si="6"/>
        <v>-31.400000000000002</v>
      </c>
      <c r="X25" s="14" t="s">
        <v>2</v>
      </c>
    </row>
    <row r="26" spans="1:24" x14ac:dyDescent="0.25">
      <c r="B26" s="2" t="s">
        <v>32</v>
      </c>
      <c r="C26" s="9">
        <f>C25*(C24/1)^1</f>
        <v>31.400000000000002</v>
      </c>
      <c r="D26" s="9">
        <f t="shared" ref="D26:W26" si="7">D25*(D24/1)^1</f>
        <v>31.400000000000002</v>
      </c>
      <c r="E26" s="9">
        <f t="shared" si="7"/>
        <v>31.400000000000002</v>
      </c>
      <c r="F26" s="9">
        <f t="shared" si="7"/>
        <v>31.400000000000002</v>
      </c>
      <c r="G26" s="9">
        <f t="shared" si="7"/>
        <v>31.400000000000002</v>
      </c>
      <c r="H26" s="9">
        <f t="shared" si="7"/>
        <v>31.400000000000002</v>
      </c>
      <c r="I26" s="9">
        <f t="shared" si="7"/>
        <v>31.400000000000002</v>
      </c>
      <c r="J26" s="9">
        <f t="shared" si="7"/>
        <v>31.400000000000002</v>
      </c>
      <c r="K26" s="9">
        <f t="shared" si="7"/>
        <v>31.400000000000002</v>
      </c>
      <c r="L26" s="9">
        <f t="shared" si="7"/>
        <v>31.400000000000002</v>
      </c>
      <c r="M26" s="9">
        <f t="shared" si="7"/>
        <v>31.400000000000002</v>
      </c>
      <c r="N26" s="9">
        <f t="shared" si="7"/>
        <v>31.400000000000002</v>
      </c>
      <c r="O26" s="9">
        <f t="shared" si="7"/>
        <v>31.400000000000002</v>
      </c>
      <c r="P26" s="9">
        <f t="shared" si="7"/>
        <v>31.400000000000002</v>
      </c>
      <c r="Q26" s="9">
        <f t="shared" si="7"/>
        <v>31.400000000000002</v>
      </c>
      <c r="R26" s="9">
        <f t="shared" si="7"/>
        <v>31.400000000000002</v>
      </c>
      <c r="S26" s="9">
        <f t="shared" si="7"/>
        <v>31.400000000000002</v>
      </c>
      <c r="T26" s="9">
        <f t="shared" si="7"/>
        <v>31.400000000000002</v>
      </c>
      <c r="U26" s="9">
        <f t="shared" si="7"/>
        <v>31.400000000000002</v>
      </c>
      <c r="V26" s="9">
        <f t="shared" si="7"/>
        <v>31.400000000000002</v>
      </c>
      <c r="W26" s="9">
        <f t="shared" si="7"/>
        <v>31.400000000000002</v>
      </c>
      <c r="X26" s="15">
        <f>SUM(C26:W26)</f>
        <v>659.39999999999975</v>
      </c>
    </row>
    <row r="28" spans="1:24" x14ac:dyDescent="0.25">
      <c r="A28" s="5" t="s">
        <v>4</v>
      </c>
      <c r="X28" s="14" t="s">
        <v>2</v>
      </c>
    </row>
    <row r="29" spans="1:24" x14ac:dyDescent="0.25">
      <c r="B29" s="10" t="s">
        <v>36</v>
      </c>
      <c r="C29" s="9">
        <f t="shared" ref="C29:W29" si="8">C26+C22</f>
        <v>20.626947619221006</v>
      </c>
      <c r="D29" s="9">
        <f t="shared" si="8"/>
        <v>30.650000000000002</v>
      </c>
      <c r="E29" s="9">
        <f t="shared" si="8"/>
        <v>30.650000000000002</v>
      </c>
      <c r="F29" s="9">
        <f t="shared" si="8"/>
        <v>30.650000000000002</v>
      </c>
      <c r="G29" s="9">
        <f t="shared" si="8"/>
        <v>30.650000000000002</v>
      </c>
      <c r="H29" s="9">
        <f t="shared" si="8"/>
        <v>30.650000000000002</v>
      </c>
      <c r="I29" s="9">
        <f t="shared" si="8"/>
        <v>30.650000000000002</v>
      </c>
      <c r="J29" s="9">
        <f t="shared" si="8"/>
        <v>30.650000000000002</v>
      </c>
      <c r="K29" s="9">
        <f t="shared" si="8"/>
        <v>30.650000000000002</v>
      </c>
      <c r="L29" s="9">
        <f t="shared" si="8"/>
        <v>30.650000000000002</v>
      </c>
      <c r="M29" s="9">
        <f t="shared" si="8"/>
        <v>30.650000000000002</v>
      </c>
      <c r="N29" s="9">
        <f t="shared" si="8"/>
        <v>30.650000000000002</v>
      </c>
      <c r="O29" s="9">
        <f t="shared" si="8"/>
        <v>30.650000000000002</v>
      </c>
      <c r="P29" s="9">
        <f t="shared" si="8"/>
        <v>30.650000000000002</v>
      </c>
      <c r="Q29" s="9">
        <f t="shared" si="8"/>
        <v>30.650000000000002</v>
      </c>
      <c r="R29" s="9">
        <f t="shared" si="8"/>
        <v>30.650000000000002</v>
      </c>
      <c r="S29" s="9">
        <f t="shared" si="8"/>
        <v>30.650000000000002</v>
      </c>
      <c r="T29" s="9">
        <f t="shared" si="8"/>
        <v>30.650000000000002</v>
      </c>
      <c r="U29" s="9">
        <f t="shared" si="8"/>
        <v>30.650000000000002</v>
      </c>
      <c r="V29" s="9">
        <f t="shared" si="8"/>
        <v>30.650000000000002</v>
      </c>
      <c r="W29" s="9">
        <f t="shared" si="8"/>
        <v>30.650000000000002</v>
      </c>
      <c r="X29" s="15">
        <f>SUM(C29:W29)</f>
        <v>633.6269476192208</v>
      </c>
    </row>
    <row r="32" spans="1:24" x14ac:dyDescent="0.25">
      <c r="A32" s="5" t="s">
        <v>47</v>
      </c>
    </row>
    <row r="33" spans="1:2" x14ac:dyDescent="0.25">
      <c r="A33" s="23" t="s">
        <v>8</v>
      </c>
      <c r="B33" s="24"/>
    </row>
    <row r="34" spans="1:2" x14ac:dyDescent="0.25">
      <c r="A34" s="17" t="s">
        <v>9</v>
      </c>
      <c r="B34" s="19">
        <v>-10000</v>
      </c>
    </row>
    <row r="35" spans="1:2" x14ac:dyDescent="0.25">
      <c r="A35" s="17" t="s">
        <v>10</v>
      </c>
      <c r="B35" s="18">
        <v>10</v>
      </c>
    </row>
    <row r="36" spans="1:2" x14ac:dyDescent="0.25">
      <c r="A36" s="17" t="s">
        <v>11</v>
      </c>
      <c r="B36" s="18">
        <v>0.999</v>
      </c>
    </row>
    <row r="37" spans="1:2" x14ac:dyDescent="0.25">
      <c r="A37" s="17" t="s">
        <v>12</v>
      </c>
      <c r="B37" s="18">
        <f>B2</f>
        <v>1</v>
      </c>
    </row>
    <row r="38" spans="1:2" x14ac:dyDescent="0.25">
      <c r="A38" s="17" t="s">
        <v>13</v>
      </c>
      <c r="B38" s="18" t="s">
        <v>20</v>
      </c>
    </row>
    <row r="39" spans="1:2" x14ac:dyDescent="0.25">
      <c r="A39" s="17" t="s">
        <v>15</v>
      </c>
      <c r="B39" s="18" t="s">
        <v>21</v>
      </c>
    </row>
    <row r="40" spans="1:2" x14ac:dyDescent="0.25">
      <c r="A40" s="17" t="s">
        <v>17</v>
      </c>
      <c r="B40" s="18" t="b">
        <v>0</v>
      </c>
    </row>
    <row r="41" spans="1:2" x14ac:dyDescent="0.25">
      <c r="A41" s="17" t="s">
        <v>18</v>
      </c>
      <c r="B41" s="18" t="s">
        <v>22</v>
      </c>
    </row>
    <row r="42" spans="1:2" x14ac:dyDescent="0.25">
      <c r="A42" s="17" t="s">
        <v>19</v>
      </c>
      <c r="B42" s="18" t="b">
        <v>0</v>
      </c>
    </row>
    <row r="43" spans="1:2" x14ac:dyDescent="0.25">
      <c r="A43" s="17" t="s">
        <v>42</v>
      </c>
      <c r="B43" s="18">
        <v>5</v>
      </c>
    </row>
    <row r="45" spans="1:2" ht="16.5" thickBot="1" x14ac:dyDescent="0.3">
      <c r="A45" s="25" t="s">
        <v>6</v>
      </c>
      <c r="B45" s="26"/>
    </row>
    <row r="46" spans="1:2" x14ac:dyDescent="0.25">
      <c r="A46" s="20" t="s">
        <v>9</v>
      </c>
      <c r="B46" s="21">
        <v>-100</v>
      </c>
    </row>
    <row r="47" spans="1:2" x14ac:dyDescent="0.25">
      <c r="A47" s="17" t="s">
        <v>10</v>
      </c>
      <c r="B47" s="18">
        <v>10</v>
      </c>
    </row>
    <row r="48" spans="1:2" x14ac:dyDescent="0.25">
      <c r="A48" s="17" t="s">
        <v>11</v>
      </c>
      <c r="B48" s="18">
        <v>0.999</v>
      </c>
    </row>
    <row r="49" spans="1:2" x14ac:dyDescent="0.25">
      <c r="A49" s="17" t="s">
        <v>12</v>
      </c>
      <c r="B49" s="18">
        <f>B2</f>
        <v>1</v>
      </c>
    </row>
    <row r="50" spans="1:2" x14ac:dyDescent="0.25">
      <c r="A50" s="17" t="s">
        <v>13</v>
      </c>
      <c r="B50" s="18" t="s">
        <v>14</v>
      </c>
    </row>
    <row r="51" spans="1:2" x14ac:dyDescent="0.25">
      <c r="A51" s="17" t="s">
        <v>15</v>
      </c>
      <c r="B51" s="18" t="s">
        <v>16</v>
      </c>
    </row>
    <row r="52" spans="1:2" x14ac:dyDescent="0.25">
      <c r="A52" s="17" t="s">
        <v>17</v>
      </c>
      <c r="B52" s="18" t="b">
        <v>0</v>
      </c>
    </row>
    <row r="53" spans="1:2" x14ac:dyDescent="0.25">
      <c r="A53" s="17" t="s">
        <v>18</v>
      </c>
      <c r="B53" s="18" t="s">
        <v>22</v>
      </c>
    </row>
    <row r="54" spans="1:2" x14ac:dyDescent="0.25">
      <c r="A54" s="17" t="s">
        <v>19</v>
      </c>
      <c r="B54" s="18" t="b">
        <v>0</v>
      </c>
    </row>
    <row r="56" spans="1:2" ht="16.5" thickBot="1" x14ac:dyDescent="0.3">
      <c r="A56" s="27" t="s">
        <v>7</v>
      </c>
      <c r="B56" s="27"/>
    </row>
    <row r="57" spans="1:2" x14ac:dyDescent="0.25">
      <c r="A57" s="20" t="s">
        <v>9</v>
      </c>
      <c r="B57" s="21">
        <v>-1</v>
      </c>
    </row>
    <row r="58" spans="1:2" x14ac:dyDescent="0.25">
      <c r="A58" s="17" t="s">
        <v>10</v>
      </c>
      <c r="B58" s="18">
        <v>1</v>
      </c>
    </row>
    <row r="59" spans="1:2" x14ac:dyDescent="0.25">
      <c r="A59" s="17" t="s">
        <v>11</v>
      </c>
      <c r="B59" s="18">
        <v>1</v>
      </c>
    </row>
    <row r="60" spans="1:2" x14ac:dyDescent="0.25">
      <c r="A60" s="17" t="s">
        <v>12</v>
      </c>
      <c r="B60" s="18">
        <v>1</v>
      </c>
    </row>
    <row r="61" spans="1:2" x14ac:dyDescent="0.25">
      <c r="A61" s="17" t="s">
        <v>13</v>
      </c>
      <c r="B61" s="18" t="s">
        <v>14</v>
      </c>
    </row>
    <row r="62" spans="1:2" x14ac:dyDescent="0.25">
      <c r="A62" s="17" t="s">
        <v>15</v>
      </c>
      <c r="B62" s="18" t="s">
        <v>21</v>
      </c>
    </row>
    <row r="63" spans="1:2" x14ac:dyDescent="0.25">
      <c r="A63" s="17" t="s">
        <v>17</v>
      </c>
      <c r="B63" s="18" t="b">
        <v>1</v>
      </c>
    </row>
    <row r="64" spans="1:2" x14ac:dyDescent="0.25">
      <c r="A64" s="17" t="s">
        <v>18</v>
      </c>
      <c r="B64" s="18" t="s">
        <v>22</v>
      </c>
    </row>
    <row r="65" spans="1:2" x14ac:dyDescent="0.25">
      <c r="A65" s="17" t="s">
        <v>19</v>
      </c>
      <c r="B65" s="18" t="b">
        <v>0</v>
      </c>
    </row>
    <row r="67" spans="1:2" ht="16.5" thickBot="1" x14ac:dyDescent="0.3">
      <c r="A67" s="25" t="s">
        <v>30</v>
      </c>
      <c r="B67" s="26"/>
    </row>
    <row r="68" spans="1:2" x14ac:dyDescent="0.25">
      <c r="A68" s="20" t="s">
        <v>9</v>
      </c>
      <c r="B68" s="21">
        <f>10 * -3.14</f>
        <v>-31.400000000000002</v>
      </c>
    </row>
    <row r="69" spans="1:2" x14ac:dyDescent="0.25">
      <c r="A69" s="17" t="s">
        <v>10</v>
      </c>
      <c r="B69" s="18" t="s">
        <v>21</v>
      </c>
    </row>
    <row r="70" spans="1:2" x14ac:dyDescent="0.25">
      <c r="A70" s="17" t="s">
        <v>11</v>
      </c>
      <c r="B70" s="18">
        <v>1</v>
      </c>
    </row>
    <row r="71" spans="1:2" x14ac:dyDescent="0.25">
      <c r="A71" s="17" t="s">
        <v>12</v>
      </c>
      <c r="B71" s="18">
        <v>-1</v>
      </c>
    </row>
    <row r="72" spans="1:2" x14ac:dyDescent="0.25">
      <c r="A72" s="17" t="s">
        <v>13</v>
      </c>
      <c r="B72" s="18" t="s">
        <v>14</v>
      </c>
    </row>
    <row r="73" spans="1:2" x14ac:dyDescent="0.25">
      <c r="A73" s="17" t="s">
        <v>15</v>
      </c>
      <c r="B73" s="18" t="s">
        <v>21</v>
      </c>
    </row>
    <row r="74" spans="1:2" x14ac:dyDescent="0.25">
      <c r="A74" s="17" t="s">
        <v>17</v>
      </c>
      <c r="B74" s="18" t="b">
        <v>0</v>
      </c>
    </row>
    <row r="75" spans="1:2" x14ac:dyDescent="0.25">
      <c r="A75" s="17" t="s">
        <v>18</v>
      </c>
      <c r="B75" s="18" t="s">
        <v>22</v>
      </c>
    </row>
    <row r="76" spans="1:2" x14ac:dyDescent="0.25">
      <c r="A76" s="17" t="s">
        <v>19</v>
      </c>
      <c r="B76" s="18" t="b">
        <v>0</v>
      </c>
    </row>
  </sheetData>
  <mergeCells count="4">
    <mergeCell ref="A33:B33"/>
    <mergeCell ref="A45:B45"/>
    <mergeCell ref="A56:B56"/>
    <mergeCell ref="A67:B6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B21E-87E6-3E4C-AA68-DB605D851F3A}">
  <dimension ref="A1:X77"/>
  <sheetViews>
    <sheetView topLeftCell="A7" workbookViewId="0">
      <selection activeCell="L39" sqref="L39"/>
    </sheetView>
  </sheetViews>
  <sheetFormatPr defaultColWidth="11" defaultRowHeight="15.75" x14ac:dyDescent="0.25"/>
  <cols>
    <col min="1" max="1" width="18.375" bestFit="1" customWidth="1"/>
    <col min="2" max="2" width="14.125" customWidth="1"/>
    <col min="3" max="3" width="12.125" bestFit="1" customWidth="1"/>
  </cols>
  <sheetData>
    <row r="1" spans="1:23" x14ac:dyDescent="0.25">
      <c r="A1" s="5" t="s">
        <v>0</v>
      </c>
      <c r="B1" t="s">
        <v>5</v>
      </c>
    </row>
    <row r="2" spans="1:23" x14ac:dyDescent="0.25">
      <c r="A2" s="5" t="s">
        <v>37</v>
      </c>
      <c r="B2" s="7">
        <v>2</v>
      </c>
    </row>
    <row r="3" spans="1:23" x14ac:dyDescent="0.25">
      <c r="A3" s="5"/>
    </row>
    <row r="4" spans="1:23" x14ac:dyDescent="0.25">
      <c r="A4" s="5" t="s">
        <v>38</v>
      </c>
      <c r="B4">
        <v>2</v>
      </c>
    </row>
    <row r="5" spans="1:23" x14ac:dyDescent="0.25">
      <c r="A5" s="5" t="s">
        <v>39</v>
      </c>
      <c r="B5">
        <v>21</v>
      </c>
    </row>
    <row r="6" spans="1:23" x14ac:dyDescent="0.25">
      <c r="A6" s="5" t="s">
        <v>40</v>
      </c>
      <c r="B6">
        <v>20</v>
      </c>
    </row>
    <row r="7" spans="1:23" x14ac:dyDescent="0.25">
      <c r="A7" s="5" t="s">
        <v>35</v>
      </c>
      <c r="B7" s="22">
        <v>0.08</v>
      </c>
    </row>
    <row r="8" spans="1:23" x14ac:dyDescent="0.25">
      <c r="A8" s="5" t="s">
        <v>41</v>
      </c>
      <c r="B8">
        <v>0</v>
      </c>
    </row>
    <row r="9" spans="1:23" x14ac:dyDescent="0.25">
      <c r="A9" s="5" t="s">
        <v>44</v>
      </c>
      <c r="B9" s="22">
        <v>0.25</v>
      </c>
    </row>
    <row r="11" spans="1:23" x14ac:dyDescent="0.25">
      <c r="A11" s="5" t="s">
        <v>1</v>
      </c>
    </row>
    <row r="12" spans="1:23" x14ac:dyDescent="0.25">
      <c r="B12" s="5" t="s">
        <v>46</v>
      </c>
      <c r="C12">
        <v>0</v>
      </c>
      <c r="D12">
        <v>0.1</v>
      </c>
      <c r="E12">
        <v>0.2</v>
      </c>
      <c r="F12">
        <v>0.3</v>
      </c>
      <c r="G12">
        <v>0.4</v>
      </c>
      <c r="H12">
        <v>0.5</v>
      </c>
      <c r="I12">
        <v>0.6</v>
      </c>
      <c r="J12">
        <v>0.7</v>
      </c>
      <c r="K12">
        <v>0.8</v>
      </c>
      <c r="L12">
        <v>0.9</v>
      </c>
      <c r="M12">
        <v>1</v>
      </c>
      <c r="N12">
        <v>1.1000000000000001</v>
      </c>
      <c r="O12">
        <v>1.2</v>
      </c>
      <c r="P12">
        <v>1.3</v>
      </c>
      <c r="Q12">
        <v>1.4</v>
      </c>
      <c r="R12">
        <v>1.5</v>
      </c>
      <c r="S12">
        <v>1.6</v>
      </c>
      <c r="T12">
        <v>1.7</v>
      </c>
      <c r="U12">
        <v>1.8</v>
      </c>
      <c r="V12">
        <v>1.9</v>
      </c>
      <c r="W12">
        <v>2</v>
      </c>
    </row>
    <row r="13" spans="1:23" x14ac:dyDescent="0.25">
      <c r="B13" s="5" t="s">
        <v>45</v>
      </c>
      <c r="C13" s="1">
        <v>-2.5120128297200001E-10</v>
      </c>
      <c r="D13">
        <v>6.2790520012699996E-2</v>
      </c>
      <c r="E13">
        <v>0.12533323400800001</v>
      </c>
      <c r="F13">
        <v>0.187381314977</v>
      </c>
      <c r="G13">
        <v>0.248689886838</v>
      </c>
      <c r="H13">
        <v>0.30901699472100003</v>
      </c>
      <c r="I13">
        <v>0.36812455240399999</v>
      </c>
      <c r="J13">
        <v>0.42577929116000002</v>
      </c>
      <c r="K13">
        <v>0.48175367469199998</v>
      </c>
      <c r="L13">
        <v>0.53582679451399995</v>
      </c>
      <c r="M13">
        <v>0.58778525289100003</v>
      </c>
      <c r="N13">
        <v>0.63742399032899999</v>
      </c>
      <c r="O13">
        <v>0.68454710626299997</v>
      </c>
      <c r="P13">
        <v>0.72896862687899999</v>
      </c>
      <c r="Q13">
        <v>0.77051324301299995</v>
      </c>
      <c r="R13">
        <v>0.80901699400100002</v>
      </c>
      <c r="S13">
        <v>0.84432792597799999</v>
      </c>
      <c r="T13">
        <v>0.87630668031000003</v>
      </c>
      <c r="U13">
        <v>0.90482705189799995</v>
      </c>
      <c r="V13">
        <v>0.929776485406</v>
      </c>
      <c r="W13">
        <v>0.95105651674500002</v>
      </c>
    </row>
    <row r="15" spans="1:23" x14ac:dyDescent="0.25">
      <c r="A15" s="5" t="s">
        <v>33</v>
      </c>
      <c r="B15" s="4" t="s">
        <v>3</v>
      </c>
      <c r="C15" s="4">
        <f>$B$2</f>
        <v>2</v>
      </c>
      <c r="D15" s="4">
        <f t="shared" ref="D15:W15" si="0">$B$2</f>
        <v>2</v>
      </c>
      <c r="E15" s="4">
        <f t="shared" si="0"/>
        <v>2</v>
      </c>
      <c r="F15" s="4">
        <f t="shared" si="0"/>
        <v>2</v>
      </c>
      <c r="G15" s="4">
        <f t="shared" si="0"/>
        <v>2</v>
      </c>
      <c r="H15" s="4">
        <f t="shared" si="0"/>
        <v>2</v>
      </c>
      <c r="I15" s="4">
        <f t="shared" si="0"/>
        <v>2</v>
      </c>
      <c r="J15" s="4">
        <f t="shared" si="0"/>
        <v>2</v>
      </c>
      <c r="K15" s="4">
        <f t="shared" si="0"/>
        <v>2</v>
      </c>
      <c r="L15" s="4">
        <f t="shared" si="0"/>
        <v>2</v>
      </c>
      <c r="M15" s="4">
        <f t="shared" si="0"/>
        <v>2</v>
      </c>
      <c r="N15" s="4">
        <f t="shared" si="0"/>
        <v>2</v>
      </c>
      <c r="O15" s="4">
        <f t="shared" si="0"/>
        <v>2</v>
      </c>
      <c r="P15" s="4">
        <f t="shared" si="0"/>
        <v>2</v>
      </c>
      <c r="Q15" s="4">
        <f t="shared" si="0"/>
        <v>2</v>
      </c>
      <c r="R15" s="4">
        <f t="shared" si="0"/>
        <v>2</v>
      </c>
      <c r="S15" s="4">
        <f t="shared" si="0"/>
        <v>2</v>
      </c>
      <c r="T15" s="4">
        <f t="shared" si="0"/>
        <v>2</v>
      </c>
      <c r="U15" s="4">
        <f t="shared" si="0"/>
        <v>2</v>
      </c>
      <c r="V15" s="4">
        <f t="shared" si="0"/>
        <v>2</v>
      </c>
      <c r="W15" s="4">
        <f t="shared" si="0"/>
        <v>2</v>
      </c>
    </row>
    <row r="16" spans="1:23" x14ac:dyDescent="0.25">
      <c r="B16" s="7" t="s">
        <v>23</v>
      </c>
      <c r="C16" s="8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</row>
    <row r="17" spans="1:24" x14ac:dyDescent="0.25">
      <c r="B17" s="2" t="s">
        <v>24</v>
      </c>
      <c r="C17" s="6">
        <f t="shared" ref="C17:W17" si="1">C16*(C15/$B$36)^$B$37</f>
        <v>0</v>
      </c>
      <c r="D17" s="9">
        <f t="shared" si="1"/>
        <v>0</v>
      </c>
      <c r="E17" s="9">
        <f t="shared" si="1"/>
        <v>0</v>
      </c>
      <c r="F17" s="9">
        <f t="shared" si="1"/>
        <v>0</v>
      </c>
      <c r="G17" s="9">
        <f t="shared" si="1"/>
        <v>0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>
        <f t="shared" si="1"/>
        <v>0</v>
      </c>
      <c r="M17" s="9">
        <f t="shared" si="1"/>
        <v>0</v>
      </c>
      <c r="N17" s="9">
        <f t="shared" si="1"/>
        <v>0</v>
      </c>
      <c r="O17" s="9">
        <f t="shared" si="1"/>
        <v>0</v>
      </c>
      <c r="P17" s="9">
        <f t="shared" si="1"/>
        <v>0</v>
      </c>
      <c r="Q17" s="9">
        <f t="shared" si="1"/>
        <v>0</v>
      </c>
      <c r="R17" s="9">
        <f t="shared" si="1"/>
        <v>0</v>
      </c>
      <c r="S17" s="9">
        <f t="shared" si="1"/>
        <v>0</v>
      </c>
      <c r="T17" s="9">
        <f t="shared" si="1"/>
        <v>0</v>
      </c>
      <c r="U17" s="9">
        <f t="shared" si="1"/>
        <v>0</v>
      </c>
      <c r="V17" s="9">
        <f t="shared" si="1"/>
        <v>0</v>
      </c>
      <c r="W17" s="9">
        <f t="shared" si="1"/>
        <v>0</v>
      </c>
    </row>
    <row r="18" spans="1:24" x14ac:dyDescent="0.25">
      <c r="B18" s="7" t="s">
        <v>27</v>
      </c>
      <c r="C18" s="8">
        <f>$B$47</f>
        <v>-100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</row>
    <row r="19" spans="1:24" x14ac:dyDescent="0.25">
      <c r="B19" s="2" t="s">
        <v>28</v>
      </c>
      <c r="C19" s="6">
        <f>C18*(C15/$B$48)^$B$49</f>
        <v>-20.03221467505459</v>
      </c>
      <c r="D19" s="9">
        <f t="shared" ref="D19:W19" si="2">(D15*D16)+(D15*D17)+(D15*D18)</f>
        <v>0</v>
      </c>
      <c r="E19" s="9">
        <f t="shared" si="2"/>
        <v>0</v>
      </c>
      <c r="F19" s="9">
        <f t="shared" si="2"/>
        <v>0</v>
      </c>
      <c r="G19" s="9">
        <f t="shared" si="2"/>
        <v>0</v>
      </c>
      <c r="H19" s="9">
        <f t="shared" si="2"/>
        <v>0</v>
      </c>
      <c r="I19" s="9">
        <f t="shared" si="2"/>
        <v>0</v>
      </c>
      <c r="J19" s="9">
        <f t="shared" si="2"/>
        <v>0</v>
      </c>
      <c r="K19" s="9">
        <f t="shared" si="2"/>
        <v>0</v>
      </c>
      <c r="L19" s="9">
        <f t="shared" si="2"/>
        <v>0</v>
      </c>
      <c r="M19" s="9">
        <f t="shared" si="2"/>
        <v>0</v>
      </c>
      <c r="N19" s="9">
        <f t="shared" si="2"/>
        <v>0</v>
      </c>
      <c r="O19" s="9">
        <f t="shared" si="2"/>
        <v>0</v>
      </c>
      <c r="P19" s="9">
        <f t="shared" si="2"/>
        <v>0</v>
      </c>
      <c r="Q19" s="9">
        <f t="shared" si="2"/>
        <v>0</v>
      </c>
      <c r="R19" s="9">
        <f t="shared" si="2"/>
        <v>0</v>
      </c>
      <c r="S19" s="9">
        <f t="shared" si="2"/>
        <v>0</v>
      </c>
      <c r="T19" s="9">
        <f t="shared" si="2"/>
        <v>0</v>
      </c>
      <c r="U19" s="9">
        <f t="shared" si="2"/>
        <v>0</v>
      </c>
      <c r="V19" s="9">
        <f t="shared" si="2"/>
        <v>0</v>
      </c>
      <c r="W19" s="9">
        <f t="shared" si="2"/>
        <v>0</v>
      </c>
    </row>
    <row r="20" spans="1:24" x14ac:dyDescent="0.25">
      <c r="B20" s="7" t="s">
        <v>25</v>
      </c>
      <c r="C20" s="8">
        <f>$B$58</f>
        <v>-1</v>
      </c>
      <c r="D20" s="16">
        <f>$B$58</f>
        <v>-1</v>
      </c>
      <c r="E20" s="16">
        <f>$B$58</f>
        <v>-1</v>
      </c>
      <c r="F20" s="16">
        <f>$B$58</f>
        <v>-1</v>
      </c>
      <c r="G20" s="16">
        <f>$B$58</f>
        <v>-1</v>
      </c>
      <c r="H20" s="16">
        <f>$B$58</f>
        <v>-1</v>
      </c>
      <c r="I20" s="16">
        <f>$B$58</f>
        <v>-1</v>
      </c>
      <c r="J20" s="16">
        <f>$B$58</f>
        <v>-1</v>
      </c>
      <c r="K20" s="16">
        <f>$B$58</f>
        <v>-1</v>
      </c>
      <c r="L20" s="16">
        <f>$B$58</f>
        <v>-1</v>
      </c>
      <c r="M20" s="16">
        <f>$B$58</f>
        <v>-1</v>
      </c>
      <c r="N20" s="16">
        <f>$B$58</f>
        <v>-1</v>
      </c>
      <c r="O20" s="16">
        <f>$B$58</f>
        <v>-1</v>
      </c>
      <c r="P20" s="16">
        <f>$B$58</f>
        <v>-1</v>
      </c>
      <c r="Q20" s="16">
        <f>$B$58</f>
        <v>-1</v>
      </c>
      <c r="R20" s="16">
        <f>$B$58</f>
        <v>-1</v>
      </c>
      <c r="S20" s="16">
        <f>$B$58</f>
        <v>-1</v>
      </c>
      <c r="T20" s="16">
        <f>$B$58</f>
        <v>-1</v>
      </c>
      <c r="U20" s="16">
        <f>$B$58</f>
        <v>-1</v>
      </c>
      <c r="V20" s="16">
        <f>$B$58</f>
        <v>-1</v>
      </c>
      <c r="W20" s="16">
        <f>$B$58</f>
        <v>-1</v>
      </c>
    </row>
    <row r="21" spans="1:24" x14ac:dyDescent="0.25">
      <c r="B21" s="12" t="s">
        <v>26</v>
      </c>
      <c r="C21" s="13">
        <f>(C20*(C15/1)^1)*(1-$B$9)</f>
        <v>-1.5</v>
      </c>
      <c r="D21" s="13">
        <f t="shared" ref="D21:W21" si="3">(D20*(D15/1)^1)*(1-$B$9)</f>
        <v>-1.5</v>
      </c>
      <c r="E21" s="13">
        <f t="shared" si="3"/>
        <v>-1.5</v>
      </c>
      <c r="F21" s="13">
        <f t="shared" si="3"/>
        <v>-1.5</v>
      </c>
      <c r="G21" s="13">
        <f t="shared" si="3"/>
        <v>-1.5</v>
      </c>
      <c r="H21" s="13">
        <f t="shared" si="3"/>
        <v>-1.5</v>
      </c>
      <c r="I21" s="13">
        <f t="shared" si="3"/>
        <v>-1.5</v>
      </c>
      <c r="J21" s="13">
        <f t="shared" si="3"/>
        <v>-1.5</v>
      </c>
      <c r="K21" s="13">
        <f t="shared" si="3"/>
        <v>-1.5</v>
      </c>
      <c r="L21" s="13">
        <f t="shared" si="3"/>
        <v>-1.5</v>
      </c>
      <c r="M21" s="13">
        <f t="shared" si="3"/>
        <v>-1.5</v>
      </c>
      <c r="N21" s="13">
        <f t="shared" si="3"/>
        <v>-1.5</v>
      </c>
      <c r="O21" s="13">
        <f t="shared" si="3"/>
        <v>-1.5</v>
      </c>
      <c r="P21" s="13">
        <f t="shared" si="3"/>
        <v>-1.5</v>
      </c>
      <c r="Q21" s="13">
        <f t="shared" si="3"/>
        <v>-1.5</v>
      </c>
      <c r="R21" s="13">
        <f t="shared" si="3"/>
        <v>-1.5</v>
      </c>
      <c r="S21" s="13">
        <f t="shared" si="3"/>
        <v>-1.5</v>
      </c>
      <c r="T21" s="13">
        <f t="shared" si="3"/>
        <v>-1.5</v>
      </c>
      <c r="U21" s="13">
        <f t="shared" si="3"/>
        <v>-1.5</v>
      </c>
      <c r="V21" s="13">
        <f t="shared" si="3"/>
        <v>-1.5</v>
      </c>
      <c r="W21" s="13">
        <f t="shared" si="3"/>
        <v>-1.5</v>
      </c>
      <c r="X21" s="14" t="s">
        <v>2</v>
      </c>
    </row>
    <row r="22" spans="1:24" x14ac:dyDescent="0.25">
      <c r="B22" s="10" t="s">
        <v>29</v>
      </c>
      <c r="C22" s="11">
        <f>C21+C19+C17</f>
        <v>-21.53221467505459</v>
      </c>
      <c r="D22" s="11">
        <f t="shared" ref="D22:W22" si="4">D21+D19+D17</f>
        <v>-1.5</v>
      </c>
      <c r="E22" s="11">
        <f t="shared" si="4"/>
        <v>-1.5</v>
      </c>
      <c r="F22" s="11">
        <f t="shared" si="4"/>
        <v>-1.5</v>
      </c>
      <c r="G22" s="11">
        <f t="shared" si="4"/>
        <v>-1.5</v>
      </c>
      <c r="H22" s="11">
        <f t="shared" si="4"/>
        <v>-1.5</v>
      </c>
      <c r="I22" s="11">
        <f t="shared" si="4"/>
        <v>-1.5</v>
      </c>
      <c r="J22" s="11">
        <f t="shared" si="4"/>
        <v>-1.5</v>
      </c>
      <c r="K22" s="11">
        <f t="shared" si="4"/>
        <v>-1.5</v>
      </c>
      <c r="L22" s="11">
        <f t="shared" si="4"/>
        <v>-1.5</v>
      </c>
      <c r="M22" s="11">
        <f t="shared" si="4"/>
        <v>-1.5</v>
      </c>
      <c r="N22" s="11">
        <f t="shared" si="4"/>
        <v>-1.5</v>
      </c>
      <c r="O22" s="11">
        <f t="shared" si="4"/>
        <v>-1.5</v>
      </c>
      <c r="P22" s="11">
        <f t="shared" si="4"/>
        <v>-1.5</v>
      </c>
      <c r="Q22" s="11">
        <f t="shared" si="4"/>
        <v>-1.5</v>
      </c>
      <c r="R22" s="11">
        <f t="shared" si="4"/>
        <v>-1.5</v>
      </c>
      <c r="S22" s="11">
        <f t="shared" si="4"/>
        <v>-1.5</v>
      </c>
      <c r="T22" s="11">
        <f t="shared" si="4"/>
        <v>-1.5</v>
      </c>
      <c r="U22" s="11">
        <f t="shared" si="4"/>
        <v>-1.5</v>
      </c>
      <c r="V22" s="11">
        <f t="shared" si="4"/>
        <v>-1.5</v>
      </c>
      <c r="W22" s="11">
        <f t="shared" si="4"/>
        <v>-1.5</v>
      </c>
      <c r="X22" s="15">
        <f>SUM(C22:W22)</f>
        <v>-51.53221467505459</v>
      </c>
    </row>
    <row r="24" spans="1:24" x14ac:dyDescent="0.25">
      <c r="A24" s="5" t="s">
        <v>34</v>
      </c>
      <c r="B24" s="3" t="s">
        <v>3</v>
      </c>
      <c r="C24" s="3">
        <f>-$B$2</f>
        <v>-2</v>
      </c>
      <c r="D24" s="3">
        <f t="shared" ref="D24:W24" si="5">-$B$2</f>
        <v>-2</v>
      </c>
      <c r="E24" s="3">
        <f t="shared" si="5"/>
        <v>-2</v>
      </c>
      <c r="F24" s="3">
        <f t="shared" si="5"/>
        <v>-2</v>
      </c>
      <c r="G24" s="3">
        <f t="shared" si="5"/>
        <v>-2</v>
      </c>
      <c r="H24" s="3">
        <f t="shared" si="5"/>
        <v>-2</v>
      </c>
      <c r="I24" s="3">
        <f t="shared" si="5"/>
        <v>-2</v>
      </c>
      <c r="J24" s="3">
        <f t="shared" si="5"/>
        <v>-2</v>
      </c>
      <c r="K24" s="3">
        <f t="shared" si="5"/>
        <v>-2</v>
      </c>
      <c r="L24" s="3">
        <f t="shared" si="5"/>
        <v>-2</v>
      </c>
      <c r="M24" s="3">
        <f t="shared" si="5"/>
        <v>-2</v>
      </c>
      <c r="N24" s="3">
        <f t="shared" si="5"/>
        <v>-2</v>
      </c>
      <c r="O24" s="3">
        <f t="shared" si="5"/>
        <v>-2</v>
      </c>
      <c r="P24" s="3">
        <f t="shared" si="5"/>
        <v>-2</v>
      </c>
      <c r="Q24" s="3">
        <f t="shared" si="5"/>
        <v>-2</v>
      </c>
      <c r="R24" s="3">
        <f t="shared" si="5"/>
        <v>-2</v>
      </c>
      <c r="S24" s="3">
        <f t="shared" si="5"/>
        <v>-2</v>
      </c>
      <c r="T24" s="3">
        <f t="shared" si="5"/>
        <v>-2</v>
      </c>
      <c r="U24" s="3">
        <f t="shared" si="5"/>
        <v>-2</v>
      </c>
      <c r="V24" s="3">
        <f t="shared" si="5"/>
        <v>-2</v>
      </c>
      <c r="W24" s="3">
        <f t="shared" si="5"/>
        <v>-2</v>
      </c>
    </row>
    <row r="25" spans="1:24" x14ac:dyDescent="0.25">
      <c r="B25" s="7" t="s">
        <v>31</v>
      </c>
      <c r="C25" s="16">
        <f>$B$69</f>
        <v>-31.400000000000002</v>
      </c>
      <c r="D25" s="16">
        <f t="shared" ref="D25:W25" si="6">10 * -3.14</f>
        <v>-31.400000000000002</v>
      </c>
      <c r="E25" s="16">
        <f t="shared" si="6"/>
        <v>-31.400000000000002</v>
      </c>
      <c r="F25" s="16">
        <f t="shared" si="6"/>
        <v>-31.400000000000002</v>
      </c>
      <c r="G25" s="16">
        <f t="shared" si="6"/>
        <v>-31.400000000000002</v>
      </c>
      <c r="H25" s="16">
        <f t="shared" si="6"/>
        <v>-31.400000000000002</v>
      </c>
      <c r="I25" s="16">
        <f t="shared" si="6"/>
        <v>-31.400000000000002</v>
      </c>
      <c r="J25" s="16">
        <f t="shared" si="6"/>
        <v>-31.400000000000002</v>
      </c>
      <c r="K25" s="16">
        <f t="shared" si="6"/>
        <v>-31.400000000000002</v>
      </c>
      <c r="L25" s="16">
        <f t="shared" si="6"/>
        <v>-31.400000000000002</v>
      </c>
      <c r="M25" s="16">
        <f t="shared" si="6"/>
        <v>-31.400000000000002</v>
      </c>
      <c r="N25" s="16">
        <f t="shared" si="6"/>
        <v>-31.400000000000002</v>
      </c>
      <c r="O25" s="16">
        <f t="shared" si="6"/>
        <v>-31.400000000000002</v>
      </c>
      <c r="P25" s="16">
        <f t="shared" si="6"/>
        <v>-31.400000000000002</v>
      </c>
      <c r="Q25" s="16">
        <f t="shared" si="6"/>
        <v>-31.400000000000002</v>
      </c>
      <c r="R25" s="16">
        <f t="shared" si="6"/>
        <v>-31.400000000000002</v>
      </c>
      <c r="S25" s="16">
        <f t="shared" si="6"/>
        <v>-31.400000000000002</v>
      </c>
      <c r="T25" s="16">
        <f t="shared" si="6"/>
        <v>-31.400000000000002</v>
      </c>
      <c r="U25" s="16">
        <f t="shared" si="6"/>
        <v>-31.400000000000002</v>
      </c>
      <c r="V25" s="16">
        <f t="shared" si="6"/>
        <v>-31.400000000000002</v>
      </c>
      <c r="W25" s="16">
        <f t="shared" si="6"/>
        <v>-31.400000000000002</v>
      </c>
      <c r="X25" s="14" t="s">
        <v>2</v>
      </c>
    </row>
    <row r="26" spans="1:24" x14ac:dyDescent="0.25">
      <c r="B26" s="2" t="s">
        <v>32</v>
      </c>
      <c r="C26" s="9">
        <f>C25*(C24/1)^1</f>
        <v>62.800000000000004</v>
      </c>
      <c r="D26" s="9">
        <f t="shared" ref="D26:W26" si="7">D25*(D24/1)^1</f>
        <v>62.800000000000004</v>
      </c>
      <c r="E26" s="9">
        <f t="shared" si="7"/>
        <v>62.800000000000004</v>
      </c>
      <c r="F26" s="9">
        <f t="shared" si="7"/>
        <v>62.800000000000004</v>
      </c>
      <c r="G26" s="9">
        <f t="shared" si="7"/>
        <v>62.800000000000004</v>
      </c>
      <c r="H26" s="9">
        <f t="shared" si="7"/>
        <v>62.800000000000004</v>
      </c>
      <c r="I26" s="9">
        <f t="shared" si="7"/>
        <v>62.800000000000004</v>
      </c>
      <c r="J26" s="9">
        <f t="shared" si="7"/>
        <v>62.800000000000004</v>
      </c>
      <c r="K26" s="9">
        <f t="shared" si="7"/>
        <v>62.800000000000004</v>
      </c>
      <c r="L26" s="9">
        <f t="shared" si="7"/>
        <v>62.800000000000004</v>
      </c>
      <c r="M26" s="9">
        <f t="shared" si="7"/>
        <v>62.800000000000004</v>
      </c>
      <c r="N26" s="9">
        <f t="shared" si="7"/>
        <v>62.800000000000004</v>
      </c>
      <c r="O26" s="9">
        <f t="shared" si="7"/>
        <v>62.800000000000004</v>
      </c>
      <c r="P26" s="9">
        <f t="shared" si="7"/>
        <v>62.800000000000004</v>
      </c>
      <c r="Q26" s="9">
        <f t="shared" si="7"/>
        <v>62.800000000000004</v>
      </c>
      <c r="R26" s="9">
        <f t="shared" si="7"/>
        <v>62.800000000000004</v>
      </c>
      <c r="S26" s="9">
        <f t="shared" si="7"/>
        <v>62.800000000000004</v>
      </c>
      <c r="T26" s="9">
        <f t="shared" si="7"/>
        <v>62.800000000000004</v>
      </c>
      <c r="U26" s="9">
        <f t="shared" si="7"/>
        <v>62.800000000000004</v>
      </c>
      <c r="V26" s="9">
        <f t="shared" si="7"/>
        <v>62.800000000000004</v>
      </c>
      <c r="W26" s="9">
        <f t="shared" si="7"/>
        <v>62.800000000000004</v>
      </c>
      <c r="X26" s="15">
        <f>SUM(C26:W26)</f>
        <v>1318.7999999999995</v>
      </c>
    </row>
    <row r="28" spans="1:24" x14ac:dyDescent="0.25">
      <c r="A28" s="5" t="s">
        <v>4</v>
      </c>
      <c r="X28" s="14" t="s">
        <v>2</v>
      </c>
    </row>
    <row r="29" spans="1:24" x14ac:dyDescent="0.25">
      <c r="B29" s="10" t="s">
        <v>36</v>
      </c>
      <c r="C29" s="9">
        <f t="shared" ref="C29:W29" si="8">C26+C22</f>
        <v>41.267785324945415</v>
      </c>
      <c r="D29" s="9">
        <f t="shared" si="8"/>
        <v>61.300000000000004</v>
      </c>
      <c r="E29" s="9">
        <f t="shared" si="8"/>
        <v>61.300000000000004</v>
      </c>
      <c r="F29" s="9">
        <f t="shared" si="8"/>
        <v>61.300000000000004</v>
      </c>
      <c r="G29" s="9">
        <f t="shared" si="8"/>
        <v>61.300000000000004</v>
      </c>
      <c r="H29" s="9">
        <f t="shared" si="8"/>
        <v>61.300000000000004</v>
      </c>
      <c r="I29" s="9">
        <f t="shared" si="8"/>
        <v>61.300000000000004</v>
      </c>
      <c r="J29" s="9">
        <f t="shared" si="8"/>
        <v>61.300000000000004</v>
      </c>
      <c r="K29" s="9">
        <f t="shared" si="8"/>
        <v>61.300000000000004</v>
      </c>
      <c r="L29" s="9">
        <f t="shared" si="8"/>
        <v>61.300000000000004</v>
      </c>
      <c r="M29" s="9">
        <f t="shared" si="8"/>
        <v>61.300000000000004</v>
      </c>
      <c r="N29" s="9">
        <f t="shared" si="8"/>
        <v>61.300000000000004</v>
      </c>
      <c r="O29" s="9">
        <f t="shared" si="8"/>
        <v>61.300000000000004</v>
      </c>
      <c r="P29" s="9">
        <f t="shared" si="8"/>
        <v>61.300000000000004</v>
      </c>
      <c r="Q29" s="9">
        <f t="shared" si="8"/>
        <v>61.300000000000004</v>
      </c>
      <c r="R29" s="9">
        <f t="shared" si="8"/>
        <v>61.300000000000004</v>
      </c>
      <c r="S29" s="9">
        <f t="shared" si="8"/>
        <v>61.300000000000004</v>
      </c>
      <c r="T29" s="9">
        <f t="shared" si="8"/>
        <v>61.300000000000004</v>
      </c>
      <c r="U29" s="9">
        <f t="shared" si="8"/>
        <v>61.300000000000004</v>
      </c>
      <c r="V29" s="9">
        <f t="shared" si="8"/>
        <v>61.300000000000004</v>
      </c>
      <c r="W29" s="9">
        <f t="shared" si="8"/>
        <v>61.300000000000004</v>
      </c>
      <c r="X29" s="15">
        <f>SUM(C29:W29)</f>
        <v>1267.267785324945</v>
      </c>
    </row>
    <row r="33" spans="1:2" x14ac:dyDescent="0.25">
      <c r="A33" s="5" t="s">
        <v>43</v>
      </c>
    </row>
    <row r="34" spans="1:2" x14ac:dyDescent="0.25">
      <c r="A34" s="23" t="s">
        <v>8</v>
      </c>
      <c r="B34" s="24"/>
    </row>
    <row r="35" spans="1:2" x14ac:dyDescent="0.25">
      <c r="A35" s="17" t="s">
        <v>9</v>
      </c>
      <c r="B35" s="19">
        <v>-10000</v>
      </c>
    </row>
    <row r="36" spans="1:2" x14ac:dyDescent="0.25">
      <c r="A36" s="17" t="s">
        <v>10</v>
      </c>
      <c r="B36" s="18">
        <v>10</v>
      </c>
    </row>
    <row r="37" spans="1:2" x14ac:dyDescent="0.25">
      <c r="A37" s="17" t="s">
        <v>11</v>
      </c>
      <c r="B37" s="18">
        <v>0.999</v>
      </c>
    </row>
    <row r="38" spans="1:2" x14ac:dyDescent="0.25">
      <c r="A38" s="17" t="s">
        <v>12</v>
      </c>
      <c r="B38" s="18">
        <f>B2</f>
        <v>2</v>
      </c>
    </row>
    <row r="39" spans="1:2" x14ac:dyDescent="0.25">
      <c r="A39" s="17" t="s">
        <v>13</v>
      </c>
      <c r="B39" s="18" t="s">
        <v>20</v>
      </c>
    </row>
    <row r="40" spans="1:2" x14ac:dyDescent="0.25">
      <c r="A40" s="17" t="s">
        <v>15</v>
      </c>
      <c r="B40" s="18" t="s">
        <v>21</v>
      </c>
    </row>
    <row r="41" spans="1:2" x14ac:dyDescent="0.25">
      <c r="A41" s="17" t="s">
        <v>17</v>
      </c>
      <c r="B41" s="18" t="b">
        <v>0</v>
      </c>
    </row>
    <row r="42" spans="1:2" x14ac:dyDescent="0.25">
      <c r="A42" s="17" t="s">
        <v>18</v>
      </c>
      <c r="B42" s="18" t="s">
        <v>22</v>
      </c>
    </row>
    <row r="43" spans="1:2" x14ac:dyDescent="0.25">
      <c r="A43" s="17" t="s">
        <v>19</v>
      </c>
      <c r="B43" s="18" t="b">
        <v>0</v>
      </c>
    </row>
    <row r="44" spans="1:2" x14ac:dyDescent="0.25">
      <c r="A44" s="17" t="s">
        <v>42</v>
      </c>
      <c r="B44" s="18">
        <v>5</v>
      </c>
    </row>
    <row r="46" spans="1:2" ht="16.5" thickBot="1" x14ac:dyDescent="0.3">
      <c r="A46" s="25" t="s">
        <v>6</v>
      </c>
      <c r="B46" s="26"/>
    </row>
    <row r="47" spans="1:2" x14ac:dyDescent="0.25">
      <c r="A47" s="20" t="s">
        <v>9</v>
      </c>
      <c r="B47" s="21">
        <v>-100</v>
      </c>
    </row>
    <row r="48" spans="1:2" x14ac:dyDescent="0.25">
      <c r="A48" s="17" t="s">
        <v>10</v>
      </c>
      <c r="B48" s="18">
        <v>10</v>
      </c>
    </row>
    <row r="49" spans="1:2" x14ac:dyDescent="0.25">
      <c r="A49" s="17" t="s">
        <v>11</v>
      </c>
      <c r="B49" s="18">
        <v>0.999</v>
      </c>
    </row>
    <row r="50" spans="1:2" x14ac:dyDescent="0.25">
      <c r="A50" s="17" t="s">
        <v>12</v>
      </c>
      <c r="B50" s="18">
        <f>B2</f>
        <v>2</v>
      </c>
    </row>
    <row r="51" spans="1:2" x14ac:dyDescent="0.25">
      <c r="A51" s="17" t="s">
        <v>13</v>
      </c>
      <c r="B51" s="18" t="s">
        <v>14</v>
      </c>
    </row>
    <row r="52" spans="1:2" x14ac:dyDescent="0.25">
      <c r="A52" s="17" t="s">
        <v>15</v>
      </c>
      <c r="B52" s="18" t="s">
        <v>16</v>
      </c>
    </row>
    <row r="53" spans="1:2" x14ac:dyDescent="0.25">
      <c r="A53" s="17" t="s">
        <v>17</v>
      </c>
      <c r="B53" s="18" t="b">
        <v>0</v>
      </c>
    </row>
    <row r="54" spans="1:2" x14ac:dyDescent="0.25">
      <c r="A54" s="17" t="s">
        <v>18</v>
      </c>
      <c r="B54" s="18" t="s">
        <v>22</v>
      </c>
    </row>
    <row r="55" spans="1:2" x14ac:dyDescent="0.25">
      <c r="A55" s="17" t="s">
        <v>19</v>
      </c>
      <c r="B55" s="18" t="b">
        <v>0</v>
      </c>
    </row>
    <row r="57" spans="1:2" ht="16.5" thickBot="1" x14ac:dyDescent="0.3">
      <c r="A57" s="27" t="s">
        <v>7</v>
      </c>
      <c r="B57" s="27"/>
    </row>
    <row r="58" spans="1:2" x14ac:dyDescent="0.25">
      <c r="A58" s="20" t="s">
        <v>9</v>
      </c>
      <c r="B58" s="21">
        <v>-1</v>
      </c>
    </row>
    <row r="59" spans="1:2" x14ac:dyDescent="0.25">
      <c r="A59" s="17" t="s">
        <v>10</v>
      </c>
      <c r="B59" s="18">
        <v>1</v>
      </c>
    </row>
    <row r="60" spans="1:2" x14ac:dyDescent="0.25">
      <c r="A60" s="17" t="s">
        <v>11</v>
      </c>
      <c r="B60" s="18">
        <v>1</v>
      </c>
    </row>
    <row r="61" spans="1:2" x14ac:dyDescent="0.25">
      <c r="A61" s="17" t="s">
        <v>12</v>
      </c>
      <c r="B61" s="18">
        <v>1</v>
      </c>
    </row>
    <row r="62" spans="1:2" x14ac:dyDescent="0.25">
      <c r="A62" s="17" t="s">
        <v>13</v>
      </c>
      <c r="B62" s="18" t="s">
        <v>14</v>
      </c>
    </row>
    <row r="63" spans="1:2" x14ac:dyDescent="0.25">
      <c r="A63" s="17" t="s">
        <v>15</v>
      </c>
      <c r="B63" s="18" t="s">
        <v>21</v>
      </c>
    </row>
    <row r="64" spans="1:2" x14ac:dyDescent="0.25">
      <c r="A64" s="17" t="s">
        <v>17</v>
      </c>
      <c r="B64" s="18" t="b">
        <v>1</v>
      </c>
    </row>
    <row r="65" spans="1:2" x14ac:dyDescent="0.25">
      <c r="A65" s="17" t="s">
        <v>18</v>
      </c>
      <c r="B65" s="18" t="s">
        <v>22</v>
      </c>
    </row>
    <row r="66" spans="1:2" x14ac:dyDescent="0.25">
      <c r="A66" s="17" t="s">
        <v>19</v>
      </c>
      <c r="B66" s="18" t="b">
        <v>0</v>
      </c>
    </row>
    <row r="68" spans="1:2" ht="16.5" thickBot="1" x14ac:dyDescent="0.3">
      <c r="A68" s="25" t="s">
        <v>30</v>
      </c>
      <c r="B68" s="26"/>
    </row>
    <row r="69" spans="1:2" x14ac:dyDescent="0.25">
      <c r="A69" s="20" t="s">
        <v>9</v>
      </c>
      <c r="B69" s="21">
        <f>10 * -3.14</f>
        <v>-31.400000000000002</v>
      </c>
    </row>
    <row r="70" spans="1:2" x14ac:dyDescent="0.25">
      <c r="A70" s="17" t="s">
        <v>10</v>
      </c>
      <c r="B70" s="18" t="s">
        <v>21</v>
      </c>
    </row>
    <row r="71" spans="1:2" x14ac:dyDescent="0.25">
      <c r="A71" s="17" t="s">
        <v>11</v>
      </c>
      <c r="B71" s="18">
        <v>1</v>
      </c>
    </row>
    <row r="72" spans="1:2" x14ac:dyDescent="0.25">
      <c r="A72" s="17" t="s">
        <v>12</v>
      </c>
      <c r="B72" s="18">
        <v>-1</v>
      </c>
    </row>
    <row r="73" spans="1:2" x14ac:dyDescent="0.25">
      <c r="A73" s="17" t="s">
        <v>13</v>
      </c>
      <c r="B73" s="18" t="s">
        <v>14</v>
      </c>
    </row>
    <row r="74" spans="1:2" x14ac:dyDescent="0.25">
      <c r="A74" s="17" t="s">
        <v>15</v>
      </c>
      <c r="B74" s="18" t="s">
        <v>21</v>
      </c>
    </row>
    <row r="75" spans="1:2" x14ac:dyDescent="0.25">
      <c r="A75" s="17" t="s">
        <v>17</v>
      </c>
      <c r="B75" s="18" t="b">
        <v>0</v>
      </c>
    </row>
    <row r="76" spans="1:2" x14ac:dyDescent="0.25">
      <c r="A76" s="17" t="s">
        <v>18</v>
      </c>
      <c r="B76" s="18" t="s">
        <v>22</v>
      </c>
    </row>
    <row r="77" spans="1:2" x14ac:dyDescent="0.25">
      <c r="A77" s="17" t="s">
        <v>19</v>
      </c>
      <c r="B77" s="18" t="b">
        <v>0</v>
      </c>
    </row>
  </sheetData>
  <mergeCells count="4">
    <mergeCell ref="A68:B68"/>
    <mergeCell ref="A34:B34"/>
    <mergeCell ref="A46:B46"/>
    <mergeCell ref="A57:B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99BC-3471-4036-8AD6-BDD59B7C37A2}">
  <dimension ref="B1:CQ128"/>
  <sheetViews>
    <sheetView zoomScale="70" zoomScaleNormal="70" workbookViewId="0">
      <selection activeCell="CF63" sqref="CF63"/>
    </sheetView>
  </sheetViews>
  <sheetFormatPr defaultRowHeight="15.75" x14ac:dyDescent="0.25"/>
  <cols>
    <col min="1" max="1" width="11.75" bestFit="1" customWidth="1"/>
    <col min="2" max="2" width="8" customWidth="1"/>
    <col min="3" max="3" width="28.375" bestFit="1" customWidth="1"/>
    <col min="4" max="4" width="13.625" bestFit="1" customWidth="1"/>
    <col min="5" max="25" width="11.25" customWidth="1"/>
    <col min="26" max="26" width="13" customWidth="1"/>
    <col min="27" max="27" width="11.625" bestFit="1" customWidth="1"/>
    <col min="28" max="28" width="11.5" bestFit="1" customWidth="1"/>
    <col min="29" max="29" width="28.125" customWidth="1"/>
    <col min="36" max="36" width="9" customWidth="1"/>
    <col min="37" max="37" width="41.375" customWidth="1"/>
    <col min="38" max="58" width="13.25" customWidth="1"/>
    <col min="59" max="59" width="13.5" customWidth="1"/>
    <col min="60" max="60" width="15.125" customWidth="1"/>
    <col min="61" max="61" width="18.125" bestFit="1" customWidth="1"/>
    <col min="71" max="71" width="31.75" customWidth="1"/>
    <col min="72" max="72" width="14.375" customWidth="1"/>
    <col min="73" max="92" width="11.625" customWidth="1"/>
    <col min="93" max="93" width="13.875" customWidth="1"/>
    <col min="94" max="94" width="16" bestFit="1" customWidth="1"/>
    <col min="95" max="95" width="17.125" bestFit="1" customWidth="1"/>
  </cols>
  <sheetData>
    <row r="1" spans="3:94" x14ac:dyDescent="0.25">
      <c r="C1" s="5" t="s">
        <v>0</v>
      </c>
      <c r="D1" t="s">
        <v>5</v>
      </c>
    </row>
    <row r="2" spans="3:94" x14ac:dyDescent="0.25">
      <c r="C2" s="5" t="s">
        <v>49</v>
      </c>
      <c r="D2">
        <v>1</v>
      </c>
    </row>
    <row r="3" spans="3:94" x14ac:dyDescent="0.25">
      <c r="C3" s="5" t="s">
        <v>50</v>
      </c>
      <c r="D3">
        <v>2</v>
      </c>
    </row>
    <row r="4" spans="3:94" x14ac:dyDescent="0.25">
      <c r="C4" s="5"/>
    </row>
    <row r="5" spans="3:94" x14ac:dyDescent="0.25">
      <c r="C5" s="5" t="s">
        <v>38</v>
      </c>
      <c r="D5">
        <v>2</v>
      </c>
    </row>
    <row r="6" spans="3:94" x14ac:dyDescent="0.25">
      <c r="C6" s="5" t="s">
        <v>39</v>
      </c>
      <c r="D6">
        <v>21</v>
      </c>
    </row>
    <row r="7" spans="3:94" x14ac:dyDescent="0.25">
      <c r="C7" s="5" t="s">
        <v>40</v>
      </c>
      <c r="D7">
        <v>20</v>
      </c>
    </row>
    <row r="8" spans="3:94" x14ac:dyDescent="0.25">
      <c r="C8" s="5" t="s">
        <v>35</v>
      </c>
      <c r="D8" s="22">
        <v>0.08</v>
      </c>
    </row>
    <row r="9" spans="3:94" x14ac:dyDescent="0.25">
      <c r="C9" s="5" t="s">
        <v>41</v>
      </c>
      <c r="D9">
        <v>0</v>
      </c>
    </row>
    <row r="10" spans="3:94" x14ac:dyDescent="0.25">
      <c r="C10" s="5" t="s">
        <v>44</v>
      </c>
      <c r="D10" s="22">
        <v>0.25</v>
      </c>
      <c r="E10" s="29"/>
    </row>
    <row r="11" spans="3:94" ht="16.5" thickBot="1" x14ac:dyDescent="0.3"/>
    <row r="12" spans="3:94" x14ac:dyDescent="0.25">
      <c r="C12" s="5" t="s">
        <v>58</v>
      </c>
      <c r="D12" s="22">
        <v>0.15</v>
      </c>
      <c r="AJ12" s="30" t="s">
        <v>48</v>
      </c>
      <c r="AK12" s="70"/>
      <c r="AL12" s="95">
        <v>0</v>
      </c>
      <c r="AM12" s="32">
        <v>1</v>
      </c>
      <c r="AN12" s="32">
        <v>2</v>
      </c>
      <c r="AO12" s="32">
        <v>3</v>
      </c>
      <c r="AP12" s="32">
        <v>4</v>
      </c>
      <c r="AQ12" s="32">
        <v>5</v>
      </c>
      <c r="AR12" s="32">
        <v>6</v>
      </c>
      <c r="AS12" s="32">
        <v>7</v>
      </c>
      <c r="AT12" s="32">
        <v>8</v>
      </c>
      <c r="AU12" s="32">
        <v>9</v>
      </c>
      <c r="AV12" s="32">
        <v>10</v>
      </c>
      <c r="AW12" s="32">
        <v>11</v>
      </c>
      <c r="AX12" s="32">
        <v>12</v>
      </c>
      <c r="AY12" s="32">
        <v>13</v>
      </c>
      <c r="AZ12" s="32">
        <v>14</v>
      </c>
      <c r="BA12" s="32">
        <v>15</v>
      </c>
      <c r="BB12" s="32">
        <v>16</v>
      </c>
      <c r="BC12" s="32">
        <v>17</v>
      </c>
      <c r="BD12" s="32">
        <v>18</v>
      </c>
      <c r="BE12" s="32">
        <v>19</v>
      </c>
      <c r="BF12" s="33">
        <v>20</v>
      </c>
      <c r="BG12" s="43" t="s">
        <v>57</v>
      </c>
      <c r="BH12" s="44"/>
      <c r="BR12" s="30" t="s">
        <v>48</v>
      </c>
      <c r="BS12" s="70"/>
      <c r="BT12" s="95">
        <v>0</v>
      </c>
      <c r="BU12" s="32">
        <v>1</v>
      </c>
      <c r="BV12" s="32">
        <v>2</v>
      </c>
      <c r="BW12" s="32">
        <v>3</v>
      </c>
      <c r="BX12" s="32">
        <v>4</v>
      </c>
      <c r="BY12" s="32">
        <v>5</v>
      </c>
      <c r="BZ12" s="32">
        <v>6</v>
      </c>
      <c r="CA12" s="32">
        <v>7</v>
      </c>
      <c r="CB12" s="32">
        <v>8</v>
      </c>
      <c r="CC12" s="32">
        <v>9</v>
      </c>
      <c r="CD12" s="32">
        <v>10</v>
      </c>
      <c r="CE12" s="32">
        <v>11</v>
      </c>
      <c r="CF12" s="32">
        <v>12</v>
      </c>
      <c r="CG12" s="32">
        <v>13</v>
      </c>
      <c r="CH12" s="32">
        <v>14</v>
      </c>
      <c r="CI12" s="32">
        <v>15</v>
      </c>
      <c r="CJ12" s="32">
        <v>16</v>
      </c>
      <c r="CK12" s="32">
        <v>17</v>
      </c>
      <c r="CL12" s="32">
        <v>18</v>
      </c>
      <c r="CM12" s="32">
        <v>19</v>
      </c>
      <c r="CN12" s="33">
        <v>20</v>
      </c>
      <c r="CO12" s="43" t="s">
        <v>57</v>
      </c>
      <c r="CP12" s="44"/>
    </row>
    <row r="13" spans="3:94" x14ac:dyDescent="0.25">
      <c r="C13" s="5" t="s">
        <v>51</v>
      </c>
      <c r="D13">
        <v>20</v>
      </c>
      <c r="AJ13" s="34" t="s">
        <v>54</v>
      </c>
      <c r="AK13" s="71"/>
      <c r="AL13" s="96">
        <f>1-$D$10</f>
        <v>0.75</v>
      </c>
      <c r="AM13" s="35">
        <f t="shared" ref="AM13:BF13" si="0">1-$D$10</f>
        <v>0.75</v>
      </c>
      <c r="AN13" s="35">
        <f t="shared" si="0"/>
        <v>0.75</v>
      </c>
      <c r="AO13" s="35">
        <f t="shared" si="0"/>
        <v>0.75</v>
      </c>
      <c r="AP13" s="35">
        <f t="shared" si="0"/>
        <v>0.75</v>
      </c>
      <c r="AQ13" s="35">
        <f t="shared" si="0"/>
        <v>0.75</v>
      </c>
      <c r="AR13" s="35">
        <f t="shared" si="0"/>
        <v>0.75</v>
      </c>
      <c r="AS13" s="35">
        <f t="shared" si="0"/>
        <v>0.75</v>
      </c>
      <c r="AT13" s="35">
        <f t="shared" si="0"/>
        <v>0.75</v>
      </c>
      <c r="AU13" s="35">
        <f t="shared" si="0"/>
        <v>0.75</v>
      </c>
      <c r="AV13" s="35">
        <f t="shared" si="0"/>
        <v>0.75</v>
      </c>
      <c r="AW13" s="35">
        <f t="shared" si="0"/>
        <v>0.75</v>
      </c>
      <c r="AX13" s="35">
        <f t="shared" si="0"/>
        <v>0.75</v>
      </c>
      <c r="AY13" s="35">
        <f t="shared" si="0"/>
        <v>0.75</v>
      </c>
      <c r="AZ13" s="35">
        <f t="shared" si="0"/>
        <v>0.75</v>
      </c>
      <c r="BA13" s="35">
        <f t="shared" si="0"/>
        <v>0.75</v>
      </c>
      <c r="BB13" s="35">
        <f t="shared" si="0"/>
        <v>0.75</v>
      </c>
      <c r="BC13" s="35">
        <f t="shared" si="0"/>
        <v>0.75</v>
      </c>
      <c r="BD13" s="35">
        <f t="shared" si="0"/>
        <v>0.75</v>
      </c>
      <c r="BE13" s="35">
        <f t="shared" si="0"/>
        <v>0.75</v>
      </c>
      <c r="BF13" s="36">
        <f t="shared" si="0"/>
        <v>0.75</v>
      </c>
      <c r="BG13" s="42"/>
      <c r="BH13" s="45"/>
      <c r="BR13" s="34" t="s">
        <v>54</v>
      </c>
      <c r="BS13" s="71"/>
      <c r="BT13" s="96">
        <f>1-$D$10</f>
        <v>0.75</v>
      </c>
      <c r="BU13" s="35">
        <f t="shared" ref="BU13:CN13" si="1">1-$D$10</f>
        <v>0.75</v>
      </c>
      <c r="BV13" s="35">
        <f t="shared" si="1"/>
        <v>0.75</v>
      </c>
      <c r="BW13" s="35">
        <f t="shared" si="1"/>
        <v>0.75</v>
      </c>
      <c r="BX13" s="35">
        <f t="shared" si="1"/>
        <v>0.75</v>
      </c>
      <c r="BY13" s="35">
        <f t="shared" si="1"/>
        <v>0.75</v>
      </c>
      <c r="BZ13" s="35">
        <f t="shared" si="1"/>
        <v>0.75</v>
      </c>
      <c r="CA13" s="35">
        <f t="shared" si="1"/>
        <v>0.75</v>
      </c>
      <c r="CB13" s="35">
        <f t="shared" si="1"/>
        <v>0.75</v>
      </c>
      <c r="CC13" s="35">
        <f t="shared" si="1"/>
        <v>0.75</v>
      </c>
      <c r="CD13" s="35">
        <f t="shared" si="1"/>
        <v>0.75</v>
      </c>
      <c r="CE13" s="35">
        <f t="shared" si="1"/>
        <v>0.75</v>
      </c>
      <c r="CF13" s="35">
        <f t="shared" si="1"/>
        <v>0.75</v>
      </c>
      <c r="CG13" s="35">
        <f t="shared" si="1"/>
        <v>0.75</v>
      </c>
      <c r="CH13" s="35">
        <f t="shared" si="1"/>
        <v>0.75</v>
      </c>
      <c r="CI13" s="35">
        <f t="shared" si="1"/>
        <v>0.75</v>
      </c>
      <c r="CJ13" s="35">
        <f t="shared" si="1"/>
        <v>0.75</v>
      </c>
      <c r="CK13" s="35">
        <f t="shared" si="1"/>
        <v>0.75</v>
      </c>
      <c r="CL13" s="35">
        <f t="shared" si="1"/>
        <v>0.75</v>
      </c>
      <c r="CM13" s="35">
        <f t="shared" si="1"/>
        <v>0.75</v>
      </c>
      <c r="CN13" s="36">
        <f t="shared" si="1"/>
        <v>0.75</v>
      </c>
      <c r="CO13" s="42"/>
      <c r="CP13" s="45"/>
    </row>
    <row r="14" spans="3:94" ht="16.5" thickBot="1" x14ac:dyDescent="0.3">
      <c r="AJ14" s="34" t="s">
        <v>55</v>
      </c>
      <c r="AK14" s="71"/>
      <c r="AL14" s="97">
        <f>1/(1+$D$8)^AL12</f>
        <v>1</v>
      </c>
      <c r="AM14" s="37">
        <f t="shared" ref="AM14:BF14" si="2">1/(1+$D$8)^AM12</f>
        <v>0.92592592592592582</v>
      </c>
      <c r="AN14" s="37">
        <f t="shared" si="2"/>
        <v>0.85733882030178321</v>
      </c>
      <c r="AO14" s="37">
        <f t="shared" si="2"/>
        <v>0.79383224102016958</v>
      </c>
      <c r="AP14" s="37">
        <f t="shared" si="2"/>
        <v>0.73502985279645328</v>
      </c>
      <c r="AQ14" s="37">
        <f t="shared" si="2"/>
        <v>0.68058319703375303</v>
      </c>
      <c r="AR14" s="37">
        <f t="shared" si="2"/>
        <v>0.63016962688310452</v>
      </c>
      <c r="AS14" s="37">
        <f t="shared" si="2"/>
        <v>0.58349039526213387</v>
      </c>
      <c r="AT14" s="37">
        <f t="shared" si="2"/>
        <v>0.54026888450197574</v>
      </c>
      <c r="AU14" s="37">
        <f t="shared" si="2"/>
        <v>0.50024896713145905</v>
      </c>
      <c r="AV14" s="37">
        <f t="shared" si="2"/>
        <v>0.46319348808468425</v>
      </c>
      <c r="AW14" s="37">
        <f t="shared" si="2"/>
        <v>0.42888285933767062</v>
      </c>
      <c r="AX14" s="37">
        <f t="shared" si="2"/>
        <v>0.39711375864599124</v>
      </c>
      <c r="AY14" s="37">
        <f t="shared" si="2"/>
        <v>0.36769792467221413</v>
      </c>
      <c r="AZ14" s="37">
        <f t="shared" si="2"/>
        <v>0.34046104136316119</v>
      </c>
      <c r="BA14" s="37">
        <f t="shared" si="2"/>
        <v>0.31524170496588994</v>
      </c>
      <c r="BB14" s="37">
        <f t="shared" si="2"/>
        <v>0.29189046756100923</v>
      </c>
      <c r="BC14" s="37">
        <f t="shared" si="2"/>
        <v>0.27026895144537894</v>
      </c>
      <c r="BD14" s="37">
        <f t="shared" si="2"/>
        <v>0.25024902911609154</v>
      </c>
      <c r="BE14" s="37">
        <f t="shared" si="2"/>
        <v>0.23171206399638106</v>
      </c>
      <c r="BF14" s="38">
        <f t="shared" si="2"/>
        <v>0.21454820740405653</v>
      </c>
      <c r="BG14" s="42"/>
      <c r="BH14" s="45"/>
      <c r="BR14" s="34" t="s">
        <v>55</v>
      </c>
      <c r="BS14" s="71"/>
      <c r="BT14" s="97">
        <f>1/(1+$D$8)^BT12</f>
        <v>1</v>
      </c>
      <c r="BU14" s="37">
        <f t="shared" ref="BU14:CN14" si="3">1/(1+$D$8)^BU12</f>
        <v>0.92592592592592582</v>
      </c>
      <c r="BV14" s="37">
        <f t="shared" si="3"/>
        <v>0.85733882030178321</v>
      </c>
      <c r="BW14" s="37">
        <f t="shared" si="3"/>
        <v>0.79383224102016958</v>
      </c>
      <c r="BX14" s="37">
        <f t="shared" si="3"/>
        <v>0.73502985279645328</v>
      </c>
      <c r="BY14" s="37">
        <f t="shared" si="3"/>
        <v>0.68058319703375303</v>
      </c>
      <c r="BZ14" s="37">
        <f t="shared" si="3"/>
        <v>0.63016962688310452</v>
      </c>
      <c r="CA14" s="37">
        <f t="shared" si="3"/>
        <v>0.58349039526213387</v>
      </c>
      <c r="CB14" s="37">
        <f t="shared" si="3"/>
        <v>0.54026888450197574</v>
      </c>
      <c r="CC14" s="37">
        <f t="shared" si="3"/>
        <v>0.50024896713145905</v>
      </c>
      <c r="CD14" s="37">
        <f t="shared" si="3"/>
        <v>0.46319348808468425</v>
      </c>
      <c r="CE14" s="37">
        <f t="shared" si="3"/>
        <v>0.42888285933767062</v>
      </c>
      <c r="CF14" s="37">
        <f t="shared" si="3"/>
        <v>0.39711375864599124</v>
      </c>
      <c r="CG14" s="37">
        <f t="shared" si="3"/>
        <v>0.36769792467221413</v>
      </c>
      <c r="CH14" s="37">
        <f t="shared" si="3"/>
        <v>0.34046104136316119</v>
      </c>
      <c r="CI14" s="37">
        <f t="shared" si="3"/>
        <v>0.31524170496588994</v>
      </c>
      <c r="CJ14" s="37">
        <f t="shared" si="3"/>
        <v>0.29189046756100923</v>
      </c>
      <c r="CK14" s="37">
        <f t="shared" si="3"/>
        <v>0.27026895144537894</v>
      </c>
      <c r="CL14" s="37">
        <f t="shared" si="3"/>
        <v>0.25024902911609154</v>
      </c>
      <c r="CM14" s="37">
        <f t="shared" si="3"/>
        <v>0.23171206399638106</v>
      </c>
      <c r="CN14" s="38">
        <f t="shared" si="3"/>
        <v>0.21454820740405653</v>
      </c>
      <c r="CO14" s="42"/>
      <c r="CP14" s="45"/>
    </row>
    <row r="15" spans="3:94" ht="16.5" thickBot="1" x14ac:dyDescent="0.3">
      <c r="C15" s="168" t="s">
        <v>48</v>
      </c>
      <c r="D15" s="169"/>
      <c r="E15" s="170">
        <v>0</v>
      </c>
      <c r="F15" s="170">
        <v>1</v>
      </c>
      <c r="G15" s="170">
        <v>2</v>
      </c>
      <c r="H15" s="170">
        <v>3</v>
      </c>
      <c r="I15" s="170">
        <v>4</v>
      </c>
      <c r="J15" s="170">
        <v>5</v>
      </c>
      <c r="K15" s="170">
        <v>6</v>
      </c>
      <c r="L15" s="170">
        <v>7</v>
      </c>
      <c r="M15" s="170">
        <v>8</v>
      </c>
      <c r="N15" s="170">
        <v>9</v>
      </c>
      <c r="O15" s="170">
        <v>10</v>
      </c>
      <c r="P15" s="170">
        <v>11</v>
      </c>
      <c r="Q15" s="170">
        <v>12</v>
      </c>
      <c r="R15" s="170">
        <v>13</v>
      </c>
      <c r="S15" s="170">
        <v>14</v>
      </c>
      <c r="T15" s="170">
        <v>15</v>
      </c>
      <c r="U15" s="170">
        <v>16</v>
      </c>
      <c r="V15" s="170">
        <v>17</v>
      </c>
      <c r="W15" s="170">
        <v>18</v>
      </c>
      <c r="X15" s="170">
        <v>19</v>
      </c>
      <c r="Y15" s="171">
        <v>20</v>
      </c>
      <c r="Z15" s="43" t="s">
        <v>57</v>
      </c>
      <c r="AA15" s="44"/>
      <c r="AJ15" s="39" t="s">
        <v>59</v>
      </c>
      <c r="AK15" s="72"/>
      <c r="AL15" s="98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1">
        <v>0</v>
      </c>
      <c r="BG15" s="46"/>
      <c r="BH15" s="47"/>
      <c r="BR15" s="39" t="s">
        <v>59</v>
      </c>
      <c r="BS15" s="72"/>
      <c r="BT15" s="98">
        <v>0</v>
      </c>
      <c r="BU15" s="40">
        <v>0</v>
      </c>
      <c r="BV15" s="40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  <c r="CJ15" s="40">
        <v>0</v>
      </c>
      <c r="CK15" s="40">
        <v>0</v>
      </c>
      <c r="CL15" s="40">
        <v>0</v>
      </c>
      <c r="CM15" s="40">
        <v>0</v>
      </c>
      <c r="CN15" s="41">
        <v>0</v>
      </c>
      <c r="CO15" s="46"/>
      <c r="CP15" s="47"/>
    </row>
    <row r="16" spans="3:94" x14ac:dyDescent="0.25">
      <c r="C16" s="34" t="s">
        <v>54</v>
      </c>
      <c r="D16" s="71"/>
      <c r="E16" s="35">
        <f>1-$D$10</f>
        <v>0.75</v>
      </c>
      <c r="F16" s="35">
        <f t="shared" ref="F16:Y16" si="4">1-$D$10</f>
        <v>0.75</v>
      </c>
      <c r="G16" s="35">
        <f t="shared" si="4"/>
        <v>0.75</v>
      </c>
      <c r="H16" s="35">
        <f t="shared" si="4"/>
        <v>0.75</v>
      </c>
      <c r="I16" s="35">
        <f t="shared" si="4"/>
        <v>0.75</v>
      </c>
      <c r="J16" s="35">
        <f t="shared" si="4"/>
        <v>0.75</v>
      </c>
      <c r="K16" s="35">
        <f t="shared" si="4"/>
        <v>0.75</v>
      </c>
      <c r="L16" s="35">
        <f t="shared" si="4"/>
        <v>0.75</v>
      </c>
      <c r="M16" s="35">
        <f t="shared" si="4"/>
        <v>0.75</v>
      </c>
      <c r="N16" s="35">
        <f t="shared" si="4"/>
        <v>0.75</v>
      </c>
      <c r="O16" s="35">
        <f t="shared" si="4"/>
        <v>0.75</v>
      </c>
      <c r="P16" s="35">
        <f t="shared" si="4"/>
        <v>0.75</v>
      </c>
      <c r="Q16" s="35">
        <f t="shared" si="4"/>
        <v>0.75</v>
      </c>
      <c r="R16" s="35">
        <f t="shared" si="4"/>
        <v>0.75</v>
      </c>
      <c r="S16" s="35">
        <f t="shared" si="4"/>
        <v>0.75</v>
      </c>
      <c r="T16" s="35">
        <f t="shared" si="4"/>
        <v>0.75</v>
      </c>
      <c r="U16" s="35">
        <f t="shared" si="4"/>
        <v>0.75</v>
      </c>
      <c r="V16" s="35">
        <f t="shared" si="4"/>
        <v>0.75</v>
      </c>
      <c r="W16" s="35">
        <f t="shared" si="4"/>
        <v>0.75</v>
      </c>
      <c r="X16" s="35">
        <f t="shared" si="4"/>
        <v>0.75</v>
      </c>
      <c r="Y16" s="36">
        <f t="shared" si="4"/>
        <v>0.75</v>
      </c>
      <c r="Z16" s="42"/>
      <c r="AA16" s="45"/>
    </row>
    <row r="17" spans="2:95" x14ac:dyDescent="0.25">
      <c r="C17" s="34" t="s">
        <v>55</v>
      </c>
      <c r="D17" s="71"/>
      <c r="E17" s="37">
        <f>1/(1+$D$8)^E15</f>
        <v>1</v>
      </c>
      <c r="F17" s="37">
        <f t="shared" ref="F17:Y17" si="5">1/(1+$D$8)^F15</f>
        <v>0.92592592592592582</v>
      </c>
      <c r="G17" s="37">
        <f t="shared" si="5"/>
        <v>0.85733882030178321</v>
      </c>
      <c r="H17" s="37">
        <f t="shared" si="5"/>
        <v>0.79383224102016958</v>
      </c>
      <c r="I17" s="37">
        <f t="shared" si="5"/>
        <v>0.73502985279645328</v>
      </c>
      <c r="J17" s="37">
        <f t="shared" si="5"/>
        <v>0.68058319703375303</v>
      </c>
      <c r="K17" s="37">
        <f t="shared" si="5"/>
        <v>0.63016962688310452</v>
      </c>
      <c r="L17" s="37">
        <f t="shared" si="5"/>
        <v>0.58349039526213387</v>
      </c>
      <c r="M17" s="37">
        <f t="shared" si="5"/>
        <v>0.54026888450197574</v>
      </c>
      <c r="N17" s="37">
        <f t="shared" si="5"/>
        <v>0.50024896713145905</v>
      </c>
      <c r="O17" s="37">
        <f t="shared" si="5"/>
        <v>0.46319348808468425</v>
      </c>
      <c r="P17" s="37">
        <f t="shared" si="5"/>
        <v>0.42888285933767062</v>
      </c>
      <c r="Q17" s="37">
        <f t="shared" si="5"/>
        <v>0.39711375864599124</v>
      </c>
      <c r="R17" s="37">
        <f t="shared" si="5"/>
        <v>0.36769792467221413</v>
      </c>
      <c r="S17" s="37">
        <f t="shared" si="5"/>
        <v>0.34046104136316119</v>
      </c>
      <c r="T17" s="37">
        <f t="shared" si="5"/>
        <v>0.31524170496588994</v>
      </c>
      <c r="U17" s="37">
        <f t="shared" si="5"/>
        <v>0.29189046756100923</v>
      </c>
      <c r="V17" s="37">
        <f t="shared" si="5"/>
        <v>0.27026895144537894</v>
      </c>
      <c r="W17" s="37">
        <f t="shared" si="5"/>
        <v>0.25024902911609154</v>
      </c>
      <c r="X17" s="37">
        <f t="shared" si="5"/>
        <v>0.23171206399638106</v>
      </c>
      <c r="Y17" s="38">
        <f t="shared" si="5"/>
        <v>0.21454820740405653</v>
      </c>
      <c r="Z17" s="42"/>
      <c r="AA17" s="45"/>
    </row>
    <row r="18" spans="2:95" ht="16.5" thickBot="1" x14ac:dyDescent="0.3">
      <c r="C18" s="39" t="s">
        <v>59</v>
      </c>
      <c r="D18" s="72"/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9">
        <v>0</v>
      </c>
      <c r="Z18" s="42"/>
      <c r="AA18" s="45"/>
      <c r="AB18" s="5" t="s">
        <v>61</v>
      </c>
    </row>
    <row r="19" spans="2:95" x14ac:dyDescent="0.25">
      <c r="B19" s="67" t="s">
        <v>49</v>
      </c>
      <c r="C19" s="156" t="s">
        <v>8</v>
      </c>
      <c r="D19" s="156"/>
      <c r="E19" s="157">
        <f>$D$86*($D$2/$D$87)^$D$88</f>
        <v>-1002.3052380778997</v>
      </c>
      <c r="F19" s="172">
        <v>0</v>
      </c>
      <c r="G19" s="172">
        <v>0</v>
      </c>
      <c r="H19" s="172">
        <v>0</v>
      </c>
      <c r="I19" s="172">
        <v>0</v>
      </c>
      <c r="J19" s="172">
        <v>0</v>
      </c>
      <c r="K19" s="172">
        <v>0</v>
      </c>
      <c r="L19" s="172">
        <v>0</v>
      </c>
      <c r="M19" s="172">
        <v>0</v>
      </c>
      <c r="N19" s="172">
        <v>0</v>
      </c>
      <c r="O19" s="172">
        <v>0</v>
      </c>
      <c r="P19" s="172">
        <v>0</v>
      </c>
      <c r="Q19" s="172">
        <v>0</v>
      </c>
      <c r="R19" s="172">
        <v>0</v>
      </c>
      <c r="S19" s="172">
        <v>0</v>
      </c>
      <c r="T19" s="172">
        <v>0</v>
      </c>
      <c r="U19" s="172">
        <v>0</v>
      </c>
      <c r="V19" s="172">
        <v>0</v>
      </c>
      <c r="W19" s="172">
        <v>0</v>
      </c>
      <c r="X19" s="172">
        <v>0</v>
      </c>
      <c r="Y19" s="173">
        <v>0</v>
      </c>
      <c r="Z19" s="158"/>
      <c r="AA19" s="159"/>
      <c r="AB19" s="76" t="s">
        <v>60</v>
      </c>
    </row>
    <row r="20" spans="2:95" x14ac:dyDescent="0.25">
      <c r="B20" s="68"/>
      <c r="C20" s="53" t="s">
        <v>56</v>
      </c>
      <c r="D20" s="53"/>
      <c r="E20" s="61">
        <v>0</v>
      </c>
      <c r="F20" s="54">
        <f>SweepValue1!$X$29*F17</f>
        <v>586.6916181659451</v>
      </c>
      <c r="G20" s="54">
        <f>SweepValue1!$X$29*G17</f>
        <v>543.23297978328253</v>
      </c>
      <c r="H20" s="54">
        <f>SweepValue1!$X$29*H17</f>
        <v>502.99349979933567</v>
      </c>
      <c r="I20" s="54">
        <f>SweepValue1!$X$29*I17</f>
        <v>465.73472203642189</v>
      </c>
      <c r="J20" s="54">
        <f>SweepValue1!$X$29*J17</f>
        <v>431.23585373742765</v>
      </c>
      <c r="K20" s="54">
        <f>SweepValue1!$X$29*K17</f>
        <v>399.29245716428477</v>
      </c>
      <c r="L20" s="54">
        <f>SweepValue1!$X$29*L17</f>
        <v>369.71523811507853</v>
      </c>
      <c r="M20" s="54">
        <f>SweepValue1!$X$29*M17</f>
        <v>342.32892418062823</v>
      </c>
      <c r="N20" s="54">
        <f>SweepValue1!$X$29*N17</f>
        <v>316.97122609317432</v>
      </c>
      <c r="O20" s="54">
        <f>SweepValue1!$X$29*O17</f>
        <v>293.49187601219842</v>
      </c>
      <c r="P20" s="54">
        <f>SweepValue1!$X$29*P17</f>
        <v>271.75173704833185</v>
      </c>
      <c r="Q20" s="54">
        <f>SweepValue1!$X$29*Q17</f>
        <v>251.62197874845538</v>
      </c>
      <c r="R20" s="54">
        <f>SweepValue1!$X$29*R17</f>
        <v>232.98331365597721</v>
      </c>
      <c r="S20" s="54">
        <f>SweepValue1!$X$29*S17</f>
        <v>215.72529042220111</v>
      </c>
      <c r="T20" s="54">
        <f>SweepValue1!$X$29*T17</f>
        <v>199.7456392798158</v>
      </c>
      <c r="U20" s="54">
        <f>SweepValue1!$X$29*U17</f>
        <v>184.94966599982945</v>
      </c>
      <c r="V20" s="54">
        <f>SweepValue1!$X$29*V17</f>
        <v>171.24969074058285</v>
      </c>
      <c r="W20" s="54">
        <f>SweepValue1!$X$29*W17</f>
        <v>158.5645284635026</v>
      </c>
      <c r="X20" s="54">
        <f>SweepValue1!$X$29*X17</f>
        <v>146.81900783657647</v>
      </c>
      <c r="Y20" s="62">
        <f>SweepValue1!$X$29*Y17</f>
        <v>135.94352577460785</v>
      </c>
      <c r="Z20" s="55">
        <f>SUM(E20:Y20)</f>
        <v>6221.0427730576594</v>
      </c>
      <c r="AA20" s="73">
        <f>SUM(Z20:Z23)</f>
        <v>5469.3138444992346</v>
      </c>
      <c r="AB20" s="77"/>
    </row>
    <row r="21" spans="2:95" x14ac:dyDescent="0.25">
      <c r="B21" s="68"/>
      <c r="C21" s="53" t="s">
        <v>24</v>
      </c>
      <c r="D21" s="53"/>
      <c r="E21" s="63">
        <f>E19*E16</f>
        <v>-751.72892855842474</v>
      </c>
      <c r="F21" s="55">
        <f t="shared" ref="F21:Y21" si="6">F19*F16</f>
        <v>0</v>
      </c>
      <c r="G21" s="55">
        <f t="shared" si="6"/>
        <v>0</v>
      </c>
      <c r="H21" s="55">
        <f t="shared" si="6"/>
        <v>0</v>
      </c>
      <c r="I21" s="55">
        <f t="shared" si="6"/>
        <v>0</v>
      </c>
      <c r="J21" s="55">
        <f t="shared" si="6"/>
        <v>0</v>
      </c>
      <c r="K21" s="55">
        <f t="shared" si="6"/>
        <v>0</v>
      </c>
      <c r="L21" s="55">
        <f t="shared" si="6"/>
        <v>0</v>
      </c>
      <c r="M21" s="55">
        <f t="shared" si="6"/>
        <v>0</v>
      </c>
      <c r="N21" s="55">
        <f t="shared" si="6"/>
        <v>0</v>
      </c>
      <c r="O21" s="55">
        <f t="shared" si="6"/>
        <v>0</v>
      </c>
      <c r="P21" s="55">
        <f t="shared" si="6"/>
        <v>0</v>
      </c>
      <c r="Q21" s="55">
        <f t="shared" si="6"/>
        <v>0</v>
      </c>
      <c r="R21" s="55">
        <f t="shared" si="6"/>
        <v>0</v>
      </c>
      <c r="S21" s="55">
        <f t="shared" si="6"/>
        <v>0</v>
      </c>
      <c r="T21" s="55">
        <f t="shared" si="6"/>
        <v>0</v>
      </c>
      <c r="U21" s="55">
        <f t="shared" si="6"/>
        <v>0</v>
      </c>
      <c r="V21" s="55">
        <f t="shared" si="6"/>
        <v>0</v>
      </c>
      <c r="W21" s="55">
        <f t="shared" si="6"/>
        <v>0</v>
      </c>
      <c r="X21" s="55">
        <f t="shared" si="6"/>
        <v>0</v>
      </c>
      <c r="Y21" s="64">
        <f t="shared" si="6"/>
        <v>0</v>
      </c>
      <c r="Z21" s="55">
        <f>SUM(E21:Y21)</f>
        <v>-751.72892855842474</v>
      </c>
      <c r="AA21" s="73"/>
      <c r="AB21" s="77"/>
    </row>
    <row r="22" spans="2:95" x14ac:dyDescent="0.25">
      <c r="B22" s="68"/>
      <c r="C22" s="53" t="s">
        <v>52</v>
      </c>
      <c r="D22" s="53"/>
      <c r="E22" s="61">
        <f>-$E$19*E17/100*E18</f>
        <v>0</v>
      </c>
      <c r="F22" s="54">
        <f t="shared" ref="F22:Y22" si="7">-$E$19*F17/100*F18</f>
        <v>0</v>
      </c>
      <c r="G22" s="54">
        <f t="shared" si="7"/>
        <v>0</v>
      </c>
      <c r="H22" s="54">
        <f t="shared" si="7"/>
        <v>0</v>
      </c>
      <c r="I22" s="54">
        <f t="shared" si="7"/>
        <v>0</v>
      </c>
      <c r="J22" s="54">
        <f t="shared" si="7"/>
        <v>0</v>
      </c>
      <c r="K22" s="54">
        <f t="shared" si="7"/>
        <v>0</v>
      </c>
      <c r="L22" s="54">
        <f t="shared" si="7"/>
        <v>0</v>
      </c>
      <c r="M22" s="54">
        <f t="shared" si="7"/>
        <v>0</v>
      </c>
      <c r="N22" s="54">
        <f t="shared" si="7"/>
        <v>0</v>
      </c>
      <c r="O22" s="54">
        <f t="shared" si="7"/>
        <v>0</v>
      </c>
      <c r="P22" s="54">
        <f t="shared" si="7"/>
        <v>0</v>
      </c>
      <c r="Q22" s="54">
        <f t="shared" si="7"/>
        <v>0</v>
      </c>
      <c r="R22" s="54">
        <f t="shared" si="7"/>
        <v>0</v>
      </c>
      <c r="S22" s="54">
        <f t="shared" si="7"/>
        <v>0</v>
      </c>
      <c r="T22" s="54">
        <f t="shared" si="7"/>
        <v>0</v>
      </c>
      <c r="U22" s="54">
        <f t="shared" si="7"/>
        <v>0</v>
      </c>
      <c r="V22" s="54">
        <f t="shared" si="7"/>
        <v>0</v>
      </c>
      <c r="W22" s="54">
        <f t="shared" si="7"/>
        <v>0</v>
      </c>
      <c r="X22" s="54">
        <f t="shared" si="7"/>
        <v>0</v>
      </c>
      <c r="Y22" s="62">
        <f t="shared" si="7"/>
        <v>0</v>
      </c>
      <c r="Z22" s="55">
        <f t="shared" ref="Z22:Z23" si="8">SUM(E22:Y22)</f>
        <v>0</v>
      </c>
      <c r="AA22" s="73"/>
      <c r="AB22" s="77"/>
    </row>
    <row r="23" spans="2:95" ht="16.5" thickBot="1" x14ac:dyDescent="0.3">
      <c r="B23" s="69"/>
      <c r="C23" s="56" t="s">
        <v>53</v>
      </c>
      <c r="D23" s="56"/>
      <c r="E23" s="65">
        <f>E18*E17/100*$E$21</f>
        <v>0</v>
      </c>
      <c r="F23" s="57">
        <f t="shared" ref="F23:X23" si="9">F18*F17/100*$E$21</f>
        <v>0</v>
      </c>
      <c r="G23" s="57">
        <f t="shared" si="9"/>
        <v>0</v>
      </c>
      <c r="H23" s="57">
        <f t="shared" si="9"/>
        <v>0</v>
      </c>
      <c r="I23" s="57">
        <f t="shared" si="9"/>
        <v>0</v>
      </c>
      <c r="J23" s="57">
        <f t="shared" si="9"/>
        <v>0</v>
      </c>
      <c r="K23" s="57">
        <f t="shared" si="9"/>
        <v>0</v>
      </c>
      <c r="L23" s="57">
        <f t="shared" si="9"/>
        <v>0</v>
      </c>
      <c r="M23" s="57">
        <f t="shared" si="9"/>
        <v>0</v>
      </c>
      <c r="N23" s="57">
        <f t="shared" si="9"/>
        <v>0</v>
      </c>
      <c r="O23" s="57">
        <f t="shared" si="9"/>
        <v>0</v>
      </c>
      <c r="P23" s="57">
        <f t="shared" si="9"/>
        <v>0</v>
      </c>
      <c r="Q23" s="57">
        <f t="shared" si="9"/>
        <v>0</v>
      </c>
      <c r="R23" s="57">
        <f t="shared" si="9"/>
        <v>0</v>
      </c>
      <c r="S23" s="57">
        <f t="shared" si="9"/>
        <v>0</v>
      </c>
      <c r="T23" s="57">
        <f t="shared" si="9"/>
        <v>0</v>
      </c>
      <c r="U23" s="57">
        <f t="shared" si="9"/>
        <v>0</v>
      </c>
      <c r="V23" s="57">
        <f t="shared" si="9"/>
        <v>0</v>
      </c>
      <c r="W23" s="57">
        <f t="shared" si="9"/>
        <v>0</v>
      </c>
      <c r="X23" s="57">
        <f t="shared" si="9"/>
        <v>0</v>
      </c>
      <c r="Y23" s="66">
        <f t="shared" ref="Y23" si="10">Y18*Y17*$E$21</f>
        <v>0</v>
      </c>
      <c r="Z23" s="58">
        <f t="shared" si="8"/>
        <v>0</v>
      </c>
      <c r="AA23" s="74"/>
      <c r="AB23" s="77"/>
    </row>
    <row r="24" spans="2:95" x14ac:dyDescent="0.25">
      <c r="B24" s="67" t="s">
        <v>50</v>
      </c>
      <c r="C24" s="156" t="s">
        <v>8</v>
      </c>
      <c r="D24" s="156"/>
      <c r="E24" s="157">
        <f>$D$86*($D$3/$D$87)^$D$88</f>
        <v>-2003.2214675054588</v>
      </c>
      <c r="F24" s="172">
        <v>0</v>
      </c>
      <c r="G24" s="172">
        <v>0</v>
      </c>
      <c r="H24" s="172">
        <v>0</v>
      </c>
      <c r="I24" s="172">
        <v>0</v>
      </c>
      <c r="J24" s="172">
        <v>0</v>
      </c>
      <c r="K24" s="172">
        <v>0</v>
      </c>
      <c r="L24" s="172">
        <v>0</v>
      </c>
      <c r="M24" s="172">
        <v>0</v>
      </c>
      <c r="N24" s="172">
        <v>0</v>
      </c>
      <c r="O24" s="172">
        <v>0</v>
      </c>
      <c r="P24" s="172">
        <v>0</v>
      </c>
      <c r="Q24" s="172">
        <v>0</v>
      </c>
      <c r="R24" s="172">
        <v>0</v>
      </c>
      <c r="S24" s="172">
        <v>0</v>
      </c>
      <c r="T24" s="172">
        <v>0</v>
      </c>
      <c r="U24" s="172">
        <v>0</v>
      </c>
      <c r="V24" s="172">
        <v>0</v>
      </c>
      <c r="W24" s="172">
        <v>0</v>
      </c>
      <c r="X24" s="172">
        <v>0</v>
      </c>
      <c r="Y24" s="173">
        <v>0</v>
      </c>
      <c r="Z24" s="158"/>
      <c r="AA24" s="159"/>
      <c r="AB24" s="77"/>
    </row>
    <row r="25" spans="2:95" x14ac:dyDescent="0.25">
      <c r="B25" s="68"/>
      <c r="C25" s="53" t="s">
        <v>56</v>
      </c>
      <c r="D25" s="53"/>
      <c r="E25" s="61">
        <v>0</v>
      </c>
      <c r="F25" s="54">
        <f>SweepValue2!$X$29*F17</f>
        <v>1173.3960975230971</v>
      </c>
      <c r="G25" s="54">
        <f>SweepValue2!$X$29*G17</f>
        <v>1086.4778680769418</v>
      </c>
      <c r="H25" s="54">
        <f>SweepValue2!$X$29*H17</f>
        <v>1005.9980259971683</v>
      </c>
      <c r="I25" s="54">
        <f>SweepValue2!$X$29*I17</f>
        <v>931.47965370108159</v>
      </c>
      <c r="J25" s="54">
        <f>SweepValue2!$X$29*J17</f>
        <v>862.4811608343349</v>
      </c>
      <c r="K25" s="54">
        <f>SweepValue2!$X$29*K17</f>
        <v>798.59366743919873</v>
      </c>
      <c r="L25" s="54">
        <f>SweepValue2!$X$29*L17</f>
        <v>739.43858096222118</v>
      </c>
      <c r="M25" s="54">
        <f>SweepValue2!$X$29*M17</f>
        <v>684.66535274279727</v>
      </c>
      <c r="N25" s="54">
        <f>SweepValue2!$X$29*N17</f>
        <v>633.94940068777532</v>
      </c>
      <c r="O25" s="54">
        <f>SweepValue2!$X$29*O17</f>
        <v>586.99018582201404</v>
      </c>
      <c r="P25" s="54">
        <f>SweepValue2!$X$29*P17</f>
        <v>543.50943131667975</v>
      </c>
      <c r="Q25" s="54">
        <f>SweepValue2!$X$29*Q17</f>
        <v>503.24947344137001</v>
      </c>
      <c r="R25" s="54">
        <f>SweepValue2!$X$29*R17</f>
        <v>465.97173466793521</v>
      </c>
      <c r="S25" s="54">
        <f>SweepValue2!$X$29*S17</f>
        <v>431.45530987771775</v>
      </c>
      <c r="T25" s="54">
        <f>SweepValue2!$X$29*T17</f>
        <v>399.49565729418305</v>
      </c>
      <c r="U25" s="54">
        <f>SweepValue2!$X$29*U17</f>
        <v>369.90338638350283</v>
      </c>
      <c r="V25" s="54">
        <f>SweepValue2!$X$29*V17</f>
        <v>342.50313554028043</v>
      </c>
      <c r="W25" s="54">
        <f>SweepValue2!$X$29*W17</f>
        <v>317.13253290766698</v>
      </c>
      <c r="X25" s="54">
        <f>SweepValue2!$X$29*X17</f>
        <v>293.64123417376572</v>
      </c>
      <c r="Y25" s="62">
        <f>SweepValue2!$X$29*Y17</f>
        <v>271.89003164237567</v>
      </c>
      <c r="Z25" s="55">
        <f>SUM(E25:Y25)</f>
        <v>12442.221921032105</v>
      </c>
      <c r="AA25" s="73">
        <f>SUM(Z25:Z28)</f>
        <v>10939.805820403011</v>
      </c>
      <c r="AB25" s="77"/>
    </row>
    <row r="26" spans="2:95" x14ac:dyDescent="0.25">
      <c r="B26" s="68"/>
      <c r="C26" s="53" t="s">
        <v>24</v>
      </c>
      <c r="D26" s="53"/>
      <c r="E26" s="61">
        <f>E24*E16</f>
        <v>-1502.4161006290942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54">
        <v>0</v>
      </c>
      <c r="R26" s="54">
        <v>0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62">
        <v>0</v>
      </c>
      <c r="Z26" s="55">
        <f t="shared" ref="Z26:Z28" si="11">SUM(E26:Y26)</f>
        <v>-1502.4161006290942</v>
      </c>
      <c r="AA26" s="73"/>
      <c r="AB26" s="77"/>
    </row>
    <row r="27" spans="2:95" ht="16.5" thickBot="1" x14ac:dyDescent="0.3">
      <c r="B27" s="68"/>
      <c r="C27" s="53" t="s">
        <v>52</v>
      </c>
      <c r="D27" s="53"/>
      <c r="E27" s="63">
        <f>-$E$24*E17*E18/100</f>
        <v>0</v>
      </c>
      <c r="F27" s="55">
        <f t="shared" ref="F27:Y27" si="12">-$E$24*F17*F18/100</f>
        <v>0</v>
      </c>
      <c r="G27" s="55">
        <f t="shared" si="12"/>
        <v>0</v>
      </c>
      <c r="H27" s="55">
        <f t="shared" si="12"/>
        <v>0</v>
      </c>
      <c r="I27" s="55">
        <f t="shared" si="12"/>
        <v>0</v>
      </c>
      <c r="J27" s="55">
        <f t="shared" si="12"/>
        <v>0</v>
      </c>
      <c r="K27" s="55">
        <f t="shared" si="12"/>
        <v>0</v>
      </c>
      <c r="L27" s="55">
        <f t="shared" si="12"/>
        <v>0</v>
      </c>
      <c r="M27" s="55">
        <f t="shared" si="12"/>
        <v>0</v>
      </c>
      <c r="N27" s="55">
        <f t="shared" si="12"/>
        <v>0</v>
      </c>
      <c r="O27" s="55">
        <f t="shared" si="12"/>
        <v>0</v>
      </c>
      <c r="P27" s="55">
        <f t="shared" si="12"/>
        <v>0</v>
      </c>
      <c r="Q27" s="55">
        <f t="shared" si="12"/>
        <v>0</v>
      </c>
      <c r="R27" s="55">
        <f t="shared" si="12"/>
        <v>0</v>
      </c>
      <c r="S27" s="55">
        <f t="shared" si="12"/>
        <v>0</v>
      </c>
      <c r="T27" s="55">
        <f t="shared" si="12"/>
        <v>0</v>
      </c>
      <c r="U27" s="55">
        <f t="shared" si="12"/>
        <v>0</v>
      </c>
      <c r="V27" s="55">
        <f t="shared" si="12"/>
        <v>0</v>
      </c>
      <c r="W27" s="55">
        <f t="shared" si="12"/>
        <v>0</v>
      </c>
      <c r="X27" s="55">
        <f t="shared" si="12"/>
        <v>0</v>
      </c>
      <c r="Y27" s="64">
        <f t="shared" si="12"/>
        <v>0</v>
      </c>
      <c r="Z27" s="55">
        <f t="shared" si="11"/>
        <v>0</v>
      </c>
      <c r="AA27" s="73"/>
      <c r="AB27" s="77"/>
    </row>
    <row r="28" spans="2:95" ht="15.75" customHeight="1" thickBot="1" x14ac:dyDescent="0.3">
      <c r="B28" s="69"/>
      <c r="C28" s="56" t="s">
        <v>53</v>
      </c>
      <c r="D28" s="56"/>
      <c r="E28" s="65">
        <f>$E$26*E17*E18/100</f>
        <v>0</v>
      </c>
      <c r="F28" s="57">
        <f t="shared" ref="F28:Y28" si="13">$E$26*F17*F18/100</f>
        <v>0</v>
      </c>
      <c r="G28" s="57">
        <f t="shared" si="13"/>
        <v>0</v>
      </c>
      <c r="H28" s="57">
        <f t="shared" si="13"/>
        <v>0</v>
      </c>
      <c r="I28" s="57">
        <f t="shared" si="13"/>
        <v>0</v>
      </c>
      <c r="J28" s="57">
        <f t="shared" si="13"/>
        <v>0</v>
      </c>
      <c r="K28" s="57">
        <f t="shared" si="13"/>
        <v>0</v>
      </c>
      <c r="L28" s="57">
        <f t="shared" si="13"/>
        <v>0</v>
      </c>
      <c r="M28" s="57">
        <f t="shared" si="13"/>
        <v>0</v>
      </c>
      <c r="N28" s="57">
        <f t="shared" si="13"/>
        <v>0</v>
      </c>
      <c r="O28" s="57">
        <f t="shared" si="13"/>
        <v>0</v>
      </c>
      <c r="P28" s="57">
        <f t="shared" si="13"/>
        <v>0</v>
      </c>
      <c r="Q28" s="57">
        <f t="shared" si="13"/>
        <v>0</v>
      </c>
      <c r="R28" s="57">
        <f t="shared" si="13"/>
        <v>0</v>
      </c>
      <c r="S28" s="57">
        <f t="shared" si="13"/>
        <v>0</v>
      </c>
      <c r="T28" s="57">
        <f t="shared" si="13"/>
        <v>0</v>
      </c>
      <c r="U28" s="57">
        <f t="shared" si="13"/>
        <v>0</v>
      </c>
      <c r="V28" s="57">
        <f t="shared" si="13"/>
        <v>0</v>
      </c>
      <c r="W28" s="57">
        <f t="shared" si="13"/>
        <v>0</v>
      </c>
      <c r="X28" s="57">
        <f t="shared" si="13"/>
        <v>0</v>
      </c>
      <c r="Y28" s="66">
        <f t="shared" si="13"/>
        <v>0</v>
      </c>
      <c r="Z28" s="58">
        <f t="shared" si="11"/>
        <v>0</v>
      </c>
      <c r="AA28" s="74"/>
      <c r="AB28" s="78"/>
      <c r="AJ28" s="174" t="s">
        <v>70</v>
      </c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5"/>
      <c r="BD28" s="175"/>
      <c r="BE28" s="175"/>
      <c r="BF28" s="175"/>
      <c r="BG28" s="175"/>
      <c r="BH28" s="175"/>
      <c r="BI28" s="176"/>
      <c r="BR28" s="83" t="s">
        <v>69</v>
      </c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7"/>
    </row>
    <row r="29" spans="2:95" ht="15.75" customHeight="1" x14ac:dyDescent="0.25">
      <c r="AJ29" s="177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9"/>
      <c r="BR29" s="88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9"/>
    </row>
    <row r="30" spans="2:95" ht="15.75" customHeight="1" x14ac:dyDescent="0.25">
      <c r="AJ30" s="177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9"/>
      <c r="BR30" s="88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9"/>
    </row>
    <row r="31" spans="2:95" ht="16.5" customHeight="1" thickBot="1" x14ac:dyDescent="0.3">
      <c r="AJ31" s="177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9"/>
      <c r="BR31" s="88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9"/>
    </row>
    <row r="32" spans="2:95" ht="15.75" customHeight="1" x14ac:dyDescent="0.25">
      <c r="C32" s="162" t="s">
        <v>68</v>
      </c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4"/>
      <c r="AJ32" s="177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9"/>
      <c r="BR32" s="88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9"/>
    </row>
    <row r="33" spans="2:95" ht="16.5" customHeight="1" thickBot="1" x14ac:dyDescent="0.3">
      <c r="C33" s="165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7"/>
      <c r="AJ33" s="180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2"/>
      <c r="BR33" s="90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91"/>
    </row>
    <row r="34" spans="2:95" ht="16.5" thickBot="1" x14ac:dyDescent="0.3">
      <c r="BI34" s="5" t="s">
        <v>71</v>
      </c>
      <c r="CQ34" s="5" t="s">
        <v>74</v>
      </c>
    </row>
    <row r="35" spans="2:95" ht="16.5" thickBot="1" x14ac:dyDescent="0.3">
      <c r="AB35" s="5" t="s">
        <v>62</v>
      </c>
      <c r="AJ35" s="30" t="s">
        <v>48</v>
      </c>
      <c r="AK35" s="70"/>
      <c r="AL35" s="32">
        <v>0</v>
      </c>
      <c r="AM35" s="32">
        <v>1</v>
      </c>
      <c r="AN35" s="32">
        <v>2</v>
      </c>
      <c r="AO35" s="32">
        <v>3</v>
      </c>
      <c r="AP35" s="32">
        <v>4</v>
      </c>
      <c r="AQ35" s="32">
        <v>5</v>
      </c>
      <c r="AR35" s="32">
        <v>6</v>
      </c>
      <c r="AS35" s="32">
        <v>7</v>
      </c>
      <c r="AT35" s="32">
        <v>8</v>
      </c>
      <c r="AU35" s="32">
        <v>9</v>
      </c>
      <c r="AV35" s="32">
        <v>10</v>
      </c>
      <c r="AW35" s="32">
        <v>11</v>
      </c>
      <c r="AX35" s="32">
        <v>12</v>
      </c>
      <c r="AY35" s="32">
        <v>13</v>
      </c>
      <c r="AZ35" s="32">
        <v>14</v>
      </c>
      <c r="BA35" s="32">
        <v>15</v>
      </c>
      <c r="BB35" s="32">
        <v>16</v>
      </c>
      <c r="BC35" s="32">
        <v>17</v>
      </c>
      <c r="BD35" s="32">
        <v>18</v>
      </c>
      <c r="BE35" s="32">
        <v>19</v>
      </c>
      <c r="BF35" s="33">
        <v>20</v>
      </c>
      <c r="BI35" s="5" t="s">
        <v>72</v>
      </c>
      <c r="BR35" s="30" t="s">
        <v>48</v>
      </c>
      <c r="BS35" s="70"/>
      <c r="BT35" s="32">
        <v>0</v>
      </c>
      <c r="BU35" s="32">
        <v>1</v>
      </c>
      <c r="BV35" s="32">
        <v>2</v>
      </c>
      <c r="BW35" s="32">
        <v>3</v>
      </c>
      <c r="BX35" s="32">
        <v>4</v>
      </c>
      <c r="BY35" s="32">
        <v>5</v>
      </c>
      <c r="BZ35" s="32">
        <v>6</v>
      </c>
      <c r="CA35" s="32">
        <v>7</v>
      </c>
      <c r="CB35" s="32">
        <v>8</v>
      </c>
      <c r="CC35" s="32">
        <v>9</v>
      </c>
      <c r="CD35" s="32">
        <v>10</v>
      </c>
      <c r="CE35" s="32">
        <v>11</v>
      </c>
      <c r="CF35" s="32">
        <v>12</v>
      </c>
      <c r="CG35" s="32">
        <v>13</v>
      </c>
      <c r="CH35" s="32">
        <v>14</v>
      </c>
      <c r="CI35" s="32">
        <v>15</v>
      </c>
      <c r="CJ35" s="32">
        <v>16</v>
      </c>
      <c r="CK35" s="32">
        <v>17</v>
      </c>
      <c r="CL35" s="32">
        <v>18</v>
      </c>
      <c r="CM35" s="32">
        <v>19</v>
      </c>
      <c r="CN35" s="33">
        <v>20</v>
      </c>
      <c r="CQ35" s="5" t="s">
        <v>62</v>
      </c>
    </row>
    <row r="36" spans="2:95" x14ac:dyDescent="0.25">
      <c r="B36" s="67" t="s">
        <v>49</v>
      </c>
      <c r="C36" s="156" t="s">
        <v>8</v>
      </c>
      <c r="D36" s="156"/>
      <c r="E36" s="157">
        <f>$D$86*($D$2/$D$87)^$D$88</f>
        <v>-1002.3052380778997</v>
      </c>
      <c r="F36" s="172">
        <v>0</v>
      </c>
      <c r="G36" s="172">
        <v>0</v>
      </c>
      <c r="H36" s="172">
        <v>0</v>
      </c>
      <c r="I36" s="172">
        <v>0</v>
      </c>
      <c r="J36" s="172">
        <v>0</v>
      </c>
      <c r="K36" s="172">
        <v>0</v>
      </c>
      <c r="L36" s="172">
        <v>0</v>
      </c>
      <c r="M36" s="172">
        <v>0</v>
      </c>
      <c r="N36" s="172">
        <v>0</v>
      </c>
      <c r="O36" s="172">
        <v>0</v>
      </c>
      <c r="P36" s="172">
        <v>0</v>
      </c>
      <c r="Q36" s="172">
        <v>0</v>
      </c>
      <c r="R36" s="172">
        <v>0</v>
      </c>
      <c r="S36" s="172">
        <v>0</v>
      </c>
      <c r="T36" s="172">
        <v>0</v>
      </c>
      <c r="U36" s="172">
        <v>0</v>
      </c>
      <c r="V36" s="172">
        <v>0</v>
      </c>
      <c r="W36" s="172">
        <v>0</v>
      </c>
      <c r="X36" s="172">
        <v>0</v>
      </c>
      <c r="Y36" s="173">
        <v>0</v>
      </c>
      <c r="Z36" s="158"/>
      <c r="AA36" s="159"/>
      <c r="AB36" s="76" t="s">
        <v>60</v>
      </c>
      <c r="AI36" s="67" t="s">
        <v>49</v>
      </c>
      <c r="AJ36" s="31" t="s">
        <v>8</v>
      </c>
      <c r="AK36" s="31"/>
      <c r="AL36" s="59">
        <f>$D$86*($D$2/$D$87)^$D$88</f>
        <v>-1002.3052380778997</v>
      </c>
      <c r="AM36" s="50">
        <v>0</v>
      </c>
      <c r="AN36" s="50">
        <v>0</v>
      </c>
      <c r="AO36" s="50">
        <v>0</v>
      </c>
      <c r="AP36" s="50">
        <v>0</v>
      </c>
      <c r="AQ36" s="50">
        <v>0</v>
      </c>
      <c r="AR36" s="50">
        <v>0</v>
      </c>
      <c r="AS36" s="50">
        <v>0</v>
      </c>
      <c r="AT36" s="50">
        <v>0</v>
      </c>
      <c r="AU36" s="50">
        <v>0</v>
      </c>
      <c r="AV36" s="50">
        <v>0</v>
      </c>
      <c r="AW36" s="50">
        <v>0</v>
      </c>
      <c r="AX36" s="50">
        <v>0</v>
      </c>
      <c r="AY36" s="50">
        <v>0</v>
      </c>
      <c r="AZ36" s="50">
        <v>0</v>
      </c>
      <c r="BA36" s="50">
        <v>0</v>
      </c>
      <c r="BB36" s="50">
        <v>0</v>
      </c>
      <c r="BC36" s="50">
        <v>0</v>
      </c>
      <c r="BD36" s="50">
        <v>0</v>
      </c>
      <c r="BE36" s="50">
        <v>0</v>
      </c>
      <c r="BF36" s="60">
        <v>0</v>
      </c>
      <c r="BG36" s="51"/>
      <c r="BH36" s="52"/>
      <c r="BI36" s="76" t="s">
        <v>60</v>
      </c>
      <c r="BQ36" s="67" t="s">
        <v>49</v>
      </c>
      <c r="BR36" s="31" t="s">
        <v>8</v>
      </c>
      <c r="BS36" s="31"/>
      <c r="BT36" s="59">
        <f>$D$86*($D$2/$D$87)^$D$88</f>
        <v>-1002.3052380778997</v>
      </c>
      <c r="BU36" s="50">
        <v>0</v>
      </c>
      <c r="BV36" s="50">
        <v>0</v>
      </c>
      <c r="BW36" s="50">
        <v>0</v>
      </c>
      <c r="BX36" s="50">
        <v>0</v>
      </c>
      <c r="BY36" s="50">
        <v>0</v>
      </c>
      <c r="BZ36" s="50">
        <v>0</v>
      </c>
      <c r="CA36" s="50">
        <v>0</v>
      </c>
      <c r="CB36" s="50">
        <v>0</v>
      </c>
      <c r="CC36" s="50">
        <v>0</v>
      </c>
      <c r="CD36" s="50">
        <v>0</v>
      </c>
      <c r="CE36" s="50">
        <v>0</v>
      </c>
      <c r="CF36" s="50">
        <v>0</v>
      </c>
      <c r="CG36" s="50">
        <v>0</v>
      </c>
      <c r="CH36" s="50">
        <v>0</v>
      </c>
      <c r="CI36" s="50">
        <v>0</v>
      </c>
      <c r="CJ36" s="50">
        <v>0</v>
      </c>
      <c r="CK36" s="50">
        <v>0</v>
      </c>
      <c r="CL36" s="50">
        <v>0</v>
      </c>
      <c r="CM36" s="50">
        <v>0</v>
      </c>
      <c r="CN36" s="60">
        <v>0</v>
      </c>
      <c r="CO36" s="51"/>
      <c r="CP36" s="52"/>
      <c r="CQ36" s="92" t="s">
        <v>73</v>
      </c>
    </row>
    <row r="37" spans="2:95" x14ac:dyDescent="0.25">
      <c r="B37" s="68"/>
      <c r="C37" s="53" t="s">
        <v>56</v>
      </c>
      <c r="D37" s="53"/>
      <c r="E37" s="61">
        <v>0</v>
      </c>
      <c r="F37" s="54">
        <f>F20</f>
        <v>586.6916181659451</v>
      </c>
      <c r="G37" s="54">
        <f>G20</f>
        <v>543.23297978328253</v>
      </c>
      <c r="H37" s="54">
        <f>H20</f>
        <v>502.99349979933567</v>
      </c>
      <c r="I37" s="54">
        <f>I20</f>
        <v>465.73472203642189</v>
      </c>
      <c r="J37" s="54">
        <f>J20</f>
        <v>431.23585373742765</v>
      </c>
      <c r="K37" s="54">
        <f>K20</f>
        <v>399.29245716428477</v>
      </c>
      <c r="L37" s="54">
        <f>L20</f>
        <v>369.71523811507853</v>
      </c>
      <c r="M37" s="54">
        <f>M20</f>
        <v>342.32892418062823</v>
      </c>
      <c r="N37" s="54">
        <f>N20</f>
        <v>316.97122609317432</v>
      </c>
      <c r="O37" s="54">
        <f>O20</f>
        <v>293.49187601219842</v>
      </c>
      <c r="P37" s="54">
        <f>P20</f>
        <v>271.75173704833185</v>
      </c>
      <c r="Q37" s="54">
        <f>Q20</f>
        <v>251.62197874845538</v>
      </c>
      <c r="R37" s="54">
        <f>R20</f>
        <v>232.98331365597721</v>
      </c>
      <c r="S37" s="54">
        <f>S20</f>
        <v>215.72529042220111</v>
      </c>
      <c r="T37" s="54">
        <f>T20</f>
        <v>199.7456392798158</v>
      </c>
      <c r="U37" s="54">
        <f>U20</f>
        <v>184.94966599982945</v>
      </c>
      <c r="V37" s="54">
        <f>V20</f>
        <v>171.24969074058285</v>
      </c>
      <c r="W37" s="54">
        <f>W20</f>
        <v>158.5645284635026</v>
      </c>
      <c r="X37" s="54">
        <f>X20</f>
        <v>146.81900783657647</v>
      </c>
      <c r="Y37" s="62">
        <f>Y20</f>
        <v>135.94352577460785</v>
      </c>
      <c r="Z37" s="55">
        <f>SUM(E37:Y37)</f>
        <v>6221.0427730576594</v>
      </c>
      <c r="AA37" s="73">
        <f>SUM(Z37:Z40)</f>
        <v>5984.0664639467195</v>
      </c>
      <c r="AB37" s="77"/>
      <c r="AI37" s="68"/>
      <c r="AJ37" s="53" t="s">
        <v>56</v>
      </c>
      <c r="AK37" s="53"/>
      <c r="AL37" s="61">
        <v>0</v>
      </c>
      <c r="AM37" s="54">
        <f>F37</f>
        <v>586.6916181659451</v>
      </c>
      <c r="AN37" s="54">
        <f t="shared" ref="AN37:BF37" si="14">G37</f>
        <v>543.23297978328253</v>
      </c>
      <c r="AO37" s="54">
        <f t="shared" si="14"/>
        <v>502.99349979933567</v>
      </c>
      <c r="AP37" s="54">
        <f t="shared" si="14"/>
        <v>465.73472203642189</v>
      </c>
      <c r="AQ37" s="54">
        <f t="shared" si="14"/>
        <v>431.23585373742765</v>
      </c>
      <c r="AR37" s="54">
        <f t="shared" si="14"/>
        <v>399.29245716428477</v>
      </c>
      <c r="AS37" s="54">
        <f t="shared" si="14"/>
        <v>369.71523811507853</v>
      </c>
      <c r="AT37" s="54">
        <f t="shared" si="14"/>
        <v>342.32892418062823</v>
      </c>
      <c r="AU37" s="54">
        <f t="shared" si="14"/>
        <v>316.97122609317432</v>
      </c>
      <c r="AV37" s="54">
        <f t="shared" si="14"/>
        <v>293.49187601219842</v>
      </c>
      <c r="AW37" s="54">
        <f t="shared" si="14"/>
        <v>271.75173704833185</v>
      </c>
      <c r="AX37" s="54">
        <f t="shared" si="14"/>
        <v>251.62197874845538</v>
      </c>
      <c r="AY37" s="54">
        <f t="shared" si="14"/>
        <v>232.98331365597721</v>
      </c>
      <c r="AZ37" s="54">
        <f t="shared" si="14"/>
        <v>215.72529042220111</v>
      </c>
      <c r="BA37" s="54">
        <f t="shared" si="14"/>
        <v>199.7456392798158</v>
      </c>
      <c r="BB37" s="54">
        <f t="shared" si="14"/>
        <v>184.94966599982945</v>
      </c>
      <c r="BC37" s="54">
        <f t="shared" si="14"/>
        <v>171.24969074058285</v>
      </c>
      <c r="BD37" s="54">
        <f t="shared" si="14"/>
        <v>158.5645284635026</v>
      </c>
      <c r="BE37" s="54">
        <f t="shared" si="14"/>
        <v>146.81900783657647</v>
      </c>
      <c r="BF37" s="62">
        <f t="shared" si="14"/>
        <v>135.94352577460785</v>
      </c>
      <c r="BG37" s="55">
        <f>SUM(AL37:BF37)</f>
        <v>6221.0427730576594</v>
      </c>
      <c r="BH37" s="73">
        <f>SUM(BG37:BG40)</f>
        <v>5984.0664639467195</v>
      </c>
      <c r="BI37" s="77"/>
      <c r="BQ37" s="68"/>
      <c r="BR37" s="53" t="s">
        <v>56</v>
      </c>
      <c r="BS37" s="53"/>
      <c r="BT37" s="61">
        <v>0</v>
      </c>
      <c r="BU37" s="54">
        <f>AM37</f>
        <v>586.6916181659451</v>
      </c>
      <c r="BV37" s="54">
        <f t="shared" ref="BV37:CN37" si="15">AN37</f>
        <v>543.23297978328253</v>
      </c>
      <c r="BW37" s="54">
        <f t="shared" si="15"/>
        <v>502.99349979933567</v>
      </c>
      <c r="BX37" s="54">
        <f t="shared" si="15"/>
        <v>465.73472203642189</v>
      </c>
      <c r="BY37" s="54">
        <f t="shared" si="15"/>
        <v>431.23585373742765</v>
      </c>
      <c r="BZ37" s="54">
        <f t="shared" si="15"/>
        <v>399.29245716428477</v>
      </c>
      <c r="CA37" s="54">
        <f t="shared" si="15"/>
        <v>369.71523811507853</v>
      </c>
      <c r="CB37" s="54">
        <f t="shared" si="15"/>
        <v>342.32892418062823</v>
      </c>
      <c r="CC37" s="54">
        <f t="shared" si="15"/>
        <v>316.97122609317432</v>
      </c>
      <c r="CD37" s="54">
        <f t="shared" si="15"/>
        <v>293.49187601219842</v>
      </c>
      <c r="CE37" s="54">
        <f t="shared" si="15"/>
        <v>271.75173704833185</v>
      </c>
      <c r="CF37" s="54">
        <f t="shared" si="15"/>
        <v>251.62197874845538</v>
      </c>
      <c r="CG37" s="54">
        <f t="shared" si="15"/>
        <v>232.98331365597721</v>
      </c>
      <c r="CH37" s="54">
        <f t="shared" si="15"/>
        <v>215.72529042220111</v>
      </c>
      <c r="CI37" s="54">
        <f t="shared" si="15"/>
        <v>199.7456392798158</v>
      </c>
      <c r="CJ37" s="54">
        <f t="shared" si="15"/>
        <v>184.94966599982945</v>
      </c>
      <c r="CK37" s="54">
        <f t="shared" si="15"/>
        <v>171.24969074058285</v>
      </c>
      <c r="CL37" s="54">
        <f t="shared" si="15"/>
        <v>158.5645284635026</v>
      </c>
      <c r="CM37" s="54">
        <f t="shared" si="15"/>
        <v>146.81900783657647</v>
      </c>
      <c r="CN37" s="62">
        <f t="shared" si="15"/>
        <v>135.94352577460785</v>
      </c>
      <c r="CO37" s="55">
        <f>SUM(BT37:CN37)</f>
        <v>6221.0427730576594</v>
      </c>
      <c r="CP37" s="73">
        <f>SUM(CO37:CO40)</f>
        <v>6221.0427730576594</v>
      </c>
      <c r="CQ37" s="93"/>
    </row>
    <row r="38" spans="2:95" x14ac:dyDescent="0.25">
      <c r="B38" s="68"/>
      <c r="C38" s="53" t="s">
        <v>24</v>
      </c>
      <c r="D38" s="53"/>
      <c r="E38" s="63">
        <f>E36*E31</f>
        <v>0</v>
      </c>
      <c r="F38" s="55">
        <f>F36*F31</f>
        <v>0</v>
      </c>
      <c r="G38" s="55">
        <f>G36*G31</f>
        <v>0</v>
      </c>
      <c r="H38" s="55">
        <f>H36*H31</f>
        <v>0</v>
      </c>
      <c r="I38" s="55">
        <f>I36*I31</f>
        <v>0</v>
      </c>
      <c r="J38" s="55">
        <f>J36*J31</f>
        <v>0</v>
      </c>
      <c r="K38" s="55">
        <f>K36*K31</f>
        <v>0</v>
      </c>
      <c r="L38" s="55">
        <f>L36*L31</f>
        <v>0</v>
      </c>
      <c r="M38" s="55">
        <f>M36*M31</f>
        <v>0</v>
      </c>
      <c r="N38" s="55">
        <f>N36*N31</f>
        <v>0</v>
      </c>
      <c r="O38" s="55">
        <f>O36*O31</f>
        <v>0</v>
      </c>
      <c r="P38" s="55">
        <f>P36*P31</f>
        <v>0</v>
      </c>
      <c r="Q38" s="55">
        <f>Q36*Q31</f>
        <v>0</v>
      </c>
      <c r="R38" s="55">
        <f>R36*R31</f>
        <v>0</v>
      </c>
      <c r="S38" s="55">
        <f>S36*S31</f>
        <v>0</v>
      </c>
      <c r="T38" s="55">
        <f>E36*T16*T17</f>
        <v>-236.9763091109395</v>
      </c>
      <c r="U38" s="55">
        <f>U36*U31</f>
        <v>0</v>
      </c>
      <c r="V38" s="55">
        <f>V36*V31</f>
        <v>0</v>
      </c>
      <c r="W38" s="55">
        <f>W36*W31</f>
        <v>0</v>
      </c>
      <c r="X38" s="55">
        <f>X36*X31</f>
        <v>0</v>
      </c>
      <c r="Y38" s="64">
        <f>Y36*Y31</f>
        <v>0</v>
      </c>
      <c r="Z38" s="55">
        <f>SUM(E38:Y38)</f>
        <v>-236.9763091109395</v>
      </c>
      <c r="AA38" s="73"/>
      <c r="AB38" s="77"/>
      <c r="AI38" s="68"/>
      <c r="AJ38" s="53" t="s">
        <v>24</v>
      </c>
      <c r="AK38" s="53"/>
      <c r="AL38" s="63">
        <f>AL36*AL31</f>
        <v>0</v>
      </c>
      <c r="AM38" s="55">
        <f>AM36*AM31</f>
        <v>0</v>
      </c>
      <c r="AN38" s="55">
        <f>AN36*AN31</f>
        <v>0</v>
      </c>
      <c r="AO38" s="55">
        <f>AO36*AO31</f>
        <v>0</v>
      </c>
      <c r="AP38" s="55">
        <f>AP36*AP31</f>
        <v>0</v>
      </c>
      <c r="AQ38" s="55">
        <f>AQ36*AQ31</f>
        <v>0</v>
      </c>
      <c r="AR38" s="55">
        <f>AR36*AR31</f>
        <v>0</v>
      </c>
      <c r="AS38" s="55">
        <f>AS36*AS31</f>
        <v>0</v>
      </c>
      <c r="AT38" s="55">
        <f>AT36*AT31</f>
        <v>0</v>
      </c>
      <c r="AU38" s="55">
        <f>AU36*AU31</f>
        <v>0</v>
      </c>
      <c r="AV38" s="55">
        <f>AV36*AV31</f>
        <v>0</v>
      </c>
      <c r="AW38" s="55">
        <f>AW36*AW31</f>
        <v>0</v>
      </c>
      <c r="AX38" s="55">
        <f>AX36*AX31</f>
        <v>0</v>
      </c>
      <c r="AY38" s="55">
        <f>AY36*AY31</f>
        <v>0</v>
      </c>
      <c r="AZ38" s="55">
        <f>AZ36*AZ31</f>
        <v>0</v>
      </c>
      <c r="BA38" s="55">
        <f>AL36*BA13*BA14</f>
        <v>-236.9763091109395</v>
      </c>
      <c r="BB38" s="55">
        <f>BB36*BB31</f>
        <v>0</v>
      </c>
      <c r="BC38" s="55">
        <f>BC36*BC31</f>
        <v>0</v>
      </c>
      <c r="BD38" s="55">
        <f>BD36*BD31</f>
        <v>0</v>
      </c>
      <c r="BE38" s="55">
        <f>BE36*BE31</f>
        <v>0</v>
      </c>
      <c r="BF38" s="64">
        <f>BF36*BF31</f>
        <v>0</v>
      </c>
      <c r="BG38" s="55">
        <f>SUM(AL38:BF38)</f>
        <v>-236.9763091109395</v>
      </c>
      <c r="BH38" s="73"/>
      <c r="BI38" s="77"/>
      <c r="BQ38" s="68"/>
      <c r="BR38" s="53" t="s">
        <v>24</v>
      </c>
      <c r="BS38" s="53"/>
      <c r="BT38" s="63">
        <f>BT36*BT31</f>
        <v>0</v>
      </c>
      <c r="BU38" s="55">
        <f>BU36*BU31</f>
        <v>0</v>
      </c>
      <c r="BV38" s="55">
        <f>BV36*BV31</f>
        <v>0</v>
      </c>
      <c r="BW38" s="55">
        <f>BW36*BW31</f>
        <v>0</v>
      </c>
      <c r="BX38" s="55">
        <f>BX36*BX31</f>
        <v>0</v>
      </c>
      <c r="BY38" s="55">
        <f>BY36*BY31</f>
        <v>0</v>
      </c>
      <c r="BZ38" s="55">
        <f>BZ36*BZ31</f>
        <v>0</v>
      </c>
      <c r="CA38" s="55">
        <f>CA36*CA31</f>
        <v>0</v>
      </c>
      <c r="CB38" s="55">
        <f>CB36*CB31</f>
        <v>0</v>
      </c>
      <c r="CC38" s="55">
        <f>CC36*CC31</f>
        <v>0</v>
      </c>
      <c r="CD38" s="55">
        <f>CD36*CD31</f>
        <v>0</v>
      </c>
      <c r="CE38" s="55">
        <f>CE36*CE31</f>
        <v>0</v>
      </c>
      <c r="CF38" s="55">
        <f>CF36*CF31</f>
        <v>0</v>
      </c>
      <c r="CG38" s="55">
        <f>CG36*CG31</f>
        <v>0</v>
      </c>
      <c r="CH38" s="55">
        <f>CH36*CH31</f>
        <v>0</v>
      </c>
      <c r="CI38" s="55">
        <f>BT36*CI16*CI17</f>
        <v>0</v>
      </c>
      <c r="CJ38" s="55">
        <f>CJ36*CJ31</f>
        <v>0</v>
      </c>
      <c r="CK38" s="55">
        <f>CK36*CK31</f>
        <v>0</v>
      </c>
      <c r="CL38" s="55">
        <f>CL36*CL31</f>
        <v>0</v>
      </c>
      <c r="CM38" s="55">
        <f>CM36*CM31</f>
        <v>0</v>
      </c>
      <c r="CN38" s="64">
        <f>CN36*CN31</f>
        <v>0</v>
      </c>
      <c r="CO38" s="55">
        <f>SUM(BT38:CN38)</f>
        <v>0</v>
      </c>
      <c r="CP38" s="73"/>
      <c r="CQ38" s="93"/>
    </row>
    <row r="39" spans="2:95" x14ac:dyDescent="0.25">
      <c r="B39" s="68"/>
      <c r="C39" s="53" t="s">
        <v>52</v>
      </c>
      <c r="D39" s="53"/>
      <c r="E39" s="61">
        <f>-$E$19*E32/100*E35</f>
        <v>0</v>
      </c>
      <c r="F39" s="54">
        <f>-$E$19*F32/100*F35</f>
        <v>0</v>
      </c>
      <c r="G39" s="54">
        <f>-$E$19*G32/100*G35</f>
        <v>0</v>
      </c>
      <c r="H39" s="54">
        <f>-$E$19*H32/100*H35</f>
        <v>0</v>
      </c>
      <c r="I39" s="54">
        <f>-$E$19*I32/100*I35</f>
        <v>0</v>
      </c>
      <c r="J39" s="54">
        <f>-$E$19*J32/100*J35</f>
        <v>0</v>
      </c>
      <c r="K39" s="54">
        <f>-$E$19*K32/100*K35</f>
        <v>0</v>
      </c>
      <c r="L39" s="54">
        <f>-$E$19*L32/100*L35</f>
        <v>0</v>
      </c>
      <c r="M39" s="54">
        <f>-$E$19*M32/100*M35</f>
        <v>0</v>
      </c>
      <c r="N39" s="54">
        <f>-$E$19*N32/100*N35</f>
        <v>0</v>
      </c>
      <c r="O39" s="54">
        <f>-$E$19*O32/100*O35</f>
        <v>0</v>
      </c>
      <c r="P39" s="54">
        <f>-$E$19*P32/100*P35</f>
        <v>0</v>
      </c>
      <c r="Q39" s="54">
        <f>-$E$19*Q32/100*Q35</f>
        <v>0</v>
      </c>
      <c r="R39" s="54">
        <f>-$E$19*R32/100*R35</f>
        <v>0</v>
      </c>
      <c r="S39" s="54">
        <f>-$E$19*S32/100*S35</f>
        <v>0</v>
      </c>
      <c r="T39" s="54">
        <f>-$E$19*T32/100*T35</f>
        <v>0</v>
      </c>
      <c r="U39" s="54">
        <f>-$E$19*U32/100*U35</f>
        <v>0</v>
      </c>
      <c r="V39" s="54">
        <f>-$E$19*V32/100*V35</f>
        <v>0</v>
      </c>
      <c r="W39" s="54">
        <f>-$E$19*W32/100*W35</f>
        <v>0</v>
      </c>
      <c r="X39" s="54">
        <f>-$E$19*X32/100*X35</f>
        <v>0</v>
      </c>
      <c r="Y39" s="62">
        <f>-$E$19*Y32/100*Y35</f>
        <v>0</v>
      </c>
      <c r="Z39" s="55">
        <f>SUM(E39:Y39)</f>
        <v>0</v>
      </c>
      <c r="AA39" s="73"/>
      <c r="AB39" s="77"/>
      <c r="AI39" s="68"/>
      <c r="AJ39" s="53" t="s">
        <v>52</v>
      </c>
      <c r="AK39" s="53"/>
      <c r="AL39" s="61">
        <f>-$E$19*AL32/100*AL35</f>
        <v>0</v>
      </c>
      <c r="AM39" s="54">
        <f>-$E$19*AM32/100*AM35</f>
        <v>0</v>
      </c>
      <c r="AN39" s="54">
        <f>-$E$19*AN32/100*AN35</f>
        <v>0</v>
      </c>
      <c r="AO39" s="54">
        <f>-$E$19*AO32/100*AO35</f>
        <v>0</v>
      </c>
      <c r="AP39" s="54">
        <f>-$E$19*AP32/100*AP35</f>
        <v>0</v>
      </c>
      <c r="AQ39" s="54">
        <f>-$E$19*AQ32/100*AQ35</f>
        <v>0</v>
      </c>
      <c r="AR39" s="54">
        <f>-$E$19*AR32/100*AR35</f>
        <v>0</v>
      </c>
      <c r="AS39" s="54">
        <f>-$E$19*AS32/100*AS35</f>
        <v>0</v>
      </c>
      <c r="AT39" s="54">
        <f>-$E$19*AT32/100*AT35</f>
        <v>0</v>
      </c>
      <c r="AU39" s="54">
        <f>-$E$19*AU32/100*AU35</f>
        <v>0</v>
      </c>
      <c r="AV39" s="54">
        <f>-$E$19*AV32/100*AV35</f>
        <v>0</v>
      </c>
      <c r="AW39" s="54">
        <f>-$E$19*AW32/100*AW35</f>
        <v>0</v>
      </c>
      <c r="AX39" s="54">
        <f>-$E$19*AX32/100*AX35</f>
        <v>0</v>
      </c>
      <c r="AY39" s="54">
        <f>-$E$19*AY32/100*AY35</f>
        <v>0</v>
      </c>
      <c r="AZ39" s="54">
        <f>-$E$19*AZ32/100*AZ35</f>
        <v>0</v>
      </c>
      <c r="BA39" s="54">
        <f>-$E$19*BA32/100*BA35</f>
        <v>0</v>
      </c>
      <c r="BB39" s="54">
        <f>-$E$19*BB32/100*BB35</f>
        <v>0</v>
      </c>
      <c r="BC39" s="54">
        <f>-$E$19*BC32/100*BC35</f>
        <v>0</v>
      </c>
      <c r="BD39" s="54">
        <f>-$E$19*BD32/100*BD35</f>
        <v>0</v>
      </c>
      <c r="BE39" s="54">
        <f>-$E$19*BE32/100*BE35</f>
        <v>0</v>
      </c>
      <c r="BF39" s="62">
        <f>-$E$19*BF32/100*BF35</f>
        <v>0</v>
      </c>
      <c r="BG39" s="55">
        <f>SUM(AL39:BF39)</f>
        <v>0</v>
      </c>
      <c r="BH39" s="73"/>
      <c r="BI39" s="77"/>
      <c r="BQ39" s="68"/>
      <c r="BR39" s="53" t="s">
        <v>52</v>
      </c>
      <c r="BS39" s="53"/>
      <c r="BT39" s="61">
        <f>-$E$19*BT32/100*BT35</f>
        <v>0</v>
      </c>
      <c r="BU39" s="54">
        <f>-$E$19*BU32/100*BU35</f>
        <v>0</v>
      </c>
      <c r="BV39" s="54">
        <f>-$E$19*BV32/100*BV35</f>
        <v>0</v>
      </c>
      <c r="BW39" s="54">
        <f>-$E$19*BW32/100*BW35</f>
        <v>0</v>
      </c>
      <c r="BX39" s="54">
        <f>-$E$19*BX32/100*BX35</f>
        <v>0</v>
      </c>
      <c r="BY39" s="54">
        <f>-$E$19*BY32/100*BY35</f>
        <v>0</v>
      </c>
      <c r="BZ39" s="54">
        <f>-$E$19*BZ32/100*BZ35</f>
        <v>0</v>
      </c>
      <c r="CA39" s="54">
        <f>-$E$19*CA32/100*CA35</f>
        <v>0</v>
      </c>
      <c r="CB39" s="54">
        <f>-$E$19*CB32/100*CB35</f>
        <v>0</v>
      </c>
      <c r="CC39" s="54">
        <f>-$E$19*CC32/100*CC35</f>
        <v>0</v>
      </c>
      <c r="CD39" s="54">
        <f>-$E$19*CD32/100*CD35</f>
        <v>0</v>
      </c>
      <c r="CE39" s="54">
        <f>-$E$19*CE32/100*CE35</f>
        <v>0</v>
      </c>
      <c r="CF39" s="54">
        <f>-$E$19*CF32/100*CF35</f>
        <v>0</v>
      </c>
      <c r="CG39" s="54">
        <f>-$E$19*CG32/100*CG35</f>
        <v>0</v>
      </c>
      <c r="CH39" s="54">
        <f>-$E$19*CH32/100*CH35</f>
        <v>0</v>
      </c>
      <c r="CI39" s="54">
        <f>-$E$19*CI32/100*CI35</f>
        <v>0</v>
      </c>
      <c r="CJ39" s="54">
        <f>-$E$19*CJ32/100*CJ35</f>
        <v>0</v>
      </c>
      <c r="CK39" s="54">
        <f>-$E$19*CK32/100*CK35</f>
        <v>0</v>
      </c>
      <c r="CL39" s="54">
        <f>-$E$19*CL32/100*CL35</f>
        <v>0</v>
      </c>
      <c r="CM39" s="54">
        <f>-$E$19*CM32/100*CM35</f>
        <v>0</v>
      </c>
      <c r="CN39" s="62">
        <f>-$E$19*CN32/100*CN35</f>
        <v>0</v>
      </c>
      <c r="CO39" s="55">
        <f>SUM(BT39:CN39)</f>
        <v>0</v>
      </c>
      <c r="CP39" s="73"/>
      <c r="CQ39" s="93"/>
    </row>
    <row r="40" spans="2:95" ht="16.5" thickBot="1" x14ac:dyDescent="0.3">
      <c r="B40" s="69"/>
      <c r="C40" s="56" t="s">
        <v>53</v>
      </c>
      <c r="D40" s="56"/>
      <c r="E40" s="65">
        <f>E35*E32/100*$E$21</f>
        <v>0</v>
      </c>
      <c r="F40" s="57">
        <f>F35*F32/100*$E$21</f>
        <v>0</v>
      </c>
      <c r="G40" s="57">
        <f>G35*G32/100*$E$21</f>
        <v>0</v>
      </c>
      <c r="H40" s="57">
        <f>H35*H32/100*$E$21</f>
        <v>0</v>
      </c>
      <c r="I40" s="57">
        <f>I35*I32/100*$E$21</f>
        <v>0</v>
      </c>
      <c r="J40" s="57">
        <f>J35*J32/100*$E$21</f>
        <v>0</v>
      </c>
      <c r="K40" s="57">
        <f>K35*K32/100*$E$21</f>
        <v>0</v>
      </c>
      <c r="L40" s="57">
        <f>L35*L32/100*$E$21</f>
        <v>0</v>
      </c>
      <c r="M40" s="57">
        <f>M35*M32/100*$E$21</f>
        <v>0</v>
      </c>
      <c r="N40" s="57">
        <f>N35*N32/100*$E$21</f>
        <v>0</v>
      </c>
      <c r="O40" s="57">
        <f>O35*O32/100*$E$21</f>
        <v>0</v>
      </c>
      <c r="P40" s="57">
        <f>P35*P32/100*$E$21</f>
        <v>0</v>
      </c>
      <c r="Q40" s="57">
        <f>Q35*Q32/100*$E$21</f>
        <v>0</v>
      </c>
      <c r="R40" s="57">
        <f>R35*R32/100*$E$21</f>
        <v>0</v>
      </c>
      <c r="S40" s="57">
        <f>S35*S32/100*$E$21</f>
        <v>0</v>
      </c>
      <c r="T40" s="57">
        <f>T35*T32/100*$E$21</f>
        <v>0</v>
      </c>
      <c r="U40" s="57">
        <f>U35*U32/100*$E$21</f>
        <v>0</v>
      </c>
      <c r="V40" s="57">
        <f>V35*V32/100*$E$21</f>
        <v>0</v>
      </c>
      <c r="W40" s="57">
        <f>W35*W32/100*$E$21</f>
        <v>0</v>
      </c>
      <c r="X40" s="57">
        <f>X35*X32/100*$E$21</f>
        <v>0</v>
      </c>
      <c r="Y40" s="66">
        <f>Y35*Y32*$E$21</f>
        <v>0</v>
      </c>
      <c r="Z40" s="58">
        <f>SUM(E40:Y40)</f>
        <v>0</v>
      </c>
      <c r="AA40" s="74"/>
      <c r="AB40" s="77"/>
      <c r="AI40" s="69"/>
      <c r="AJ40" s="56" t="s">
        <v>53</v>
      </c>
      <c r="AK40" s="56"/>
      <c r="AL40" s="65">
        <f>AL35*AL32/100*$E$21</f>
        <v>0</v>
      </c>
      <c r="AM40" s="57">
        <f>AM35*AM32/100*$E$21</f>
        <v>0</v>
      </c>
      <c r="AN40" s="57">
        <f>AN35*AN32/100*$E$21</f>
        <v>0</v>
      </c>
      <c r="AO40" s="57">
        <f>AO35*AO32/100*$E$21</f>
        <v>0</v>
      </c>
      <c r="AP40" s="57">
        <f>AP35*AP32/100*$E$21</f>
        <v>0</v>
      </c>
      <c r="AQ40" s="57">
        <f>AQ35*AQ32/100*$E$21</f>
        <v>0</v>
      </c>
      <c r="AR40" s="57">
        <f>AR35*AR32/100*$E$21</f>
        <v>0</v>
      </c>
      <c r="AS40" s="57">
        <f>AS35*AS32/100*$E$21</f>
        <v>0</v>
      </c>
      <c r="AT40" s="57">
        <f>AT35*AT32/100*$E$21</f>
        <v>0</v>
      </c>
      <c r="AU40" s="57">
        <f>AU35*AU32/100*$E$21</f>
        <v>0</v>
      </c>
      <c r="AV40" s="57">
        <f>AV35*AV32/100*$E$21</f>
        <v>0</v>
      </c>
      <c r="AW40" s="57">
        <f>AW35*AW32/100*$E$21</f>
        <v>0</v>
      </c>
      <c r="AX40" s="57">
        <f>AX35*AX32/100*$E$21</f>
        <v>0</v>
      </c>
      <c r="AY40" s="57">
        <f>AY35*AY32/100*$E$21</f>
        <v>0</v>
      </c>
      <c r="AZ40" s="57">
        <f>AZ35*AZ32/100*$E$21</f>
        <v>0</v>
      </c>
      <c r="BA40" s="57">
        <f>BA35*BA32/100*$E$21</f>
        <v>0</v>
      </c>
      <c r="BB40" s="57">
        <f>BB35*BB32/100*$E$21</f>
        <v>0</v>
      </c>
      <c r="BC40" s="57">
        <f>BC35*BC32/100*$E$21</f>
        <v>0</v>
      </c>
      <c r="BD40" s="57">
        <f>BD35*BD32/100*$E$21</f>
        <v>0</v>
      </c>
      <c r="BE40" s="57">
        <f>BE35*BE32/100*$E$21</f>
        <v>0</v>
      </c>
      <c r="BF40" s="66">
        <f>BF35*BF32*$E$21</f>
        <v>0</v>
      </c>
      <c r="BG40" s="58">
        <f>SUM(AL40:BF40)</f>
        <v>0</v>
      </c>
      <c r="BH40" s="74"/>
      <c r="BI40" s="77"/>
      <c r="BQ40" s="69"/>
      <c r="BR40" s="56" t="s">
        <v>53</v>
      </c>
      <c r="BS40" s="56"/>
      <c r="BT40" s="65">
        <f>BT35*BT32/100*$E$21</f>
        <v>0</v>
      </c>
      <c r="BU40" s="57">
        <f>BU35*BU32/100*$E$21</f>
        <v>0</v>
      </c>
      <c r="BV40" s="57">
        <f>BV35*BV32/100*$E$21</f>
        <v>0</v>
      </c>
      <c r="BW40" s="57">
        <f>BW35*BW32/100*$E$21</f>
        <v>0</v>
      </c>
      <c r="BX40" s="57">
        <f>BX35*BX32/100*$E$21</f>
        <v>0</v>
      </c>
      <c r="BY40" s="57">
        <f>BY35*BY32/100*$E$21</f>
        <v>0</v>
      </c>
      <c r="BZ40" s="57">
        <f>BZ35*BZ32/100*$E$21</f>
        <v>0</v>
      </c>
      <c r="CA40" s="57">
        <f>CA35*CA32/100*$E$21</f>
        <v>0</v>
      </c>
      <c r="CB40" s="57">
        <f>CB35*CB32/100*$E$21</f>
        <v>0</v>
      </c>
      <c r="CC40" s="57">
        <f>CC35*CC32/100*$E$21</f>
        <v>0</v>
      </c>
      <c r="CD40" s="57">
        <f>CD35*CD32/100*$E$21</f>
        <v>0</v>
      </c>
      <c r="CE40" s="57">
        <f>CE35*CE32/100*$E$21</f>
        <v>0</v>
      </c>
      <c r="CF40" s="57">
        <f>CF35*CF32/100*$E$21</f>
        <v>0</v>
      </c>
      <c r="CG40" s="57">
        <f>CG35*CG32/100*$E$21</f>
        <v>0</v>
      </c>
      <c r="CH40" s="57">
        <f>CH35*CH32/100*$E$21</f>
        <v>0</v>
      </c>
      <c r="CI40" s="57">
        <f>CI35*CI32/100*$E$21</f>
        <v>0</v>
      </c>
      <c r="CJ40" s="57">
        <f>CJ35*CJ32/100*$E$21</f>
        <v>0</v>
      </c>
      <c r="CK40" s="57">
        <f>CK35*CK32/100*$E$21</f>
        <v>0</v>
      </c>
      <c r="CL40" s="57">
        <f>CL35*CL32/100*$E$21</f>
        <v>0</v>
      </c>
      <c r="CM40" s="57">
        <f>CM35*CM32/100*$E$21</f>
        <v>0</v>
      </c>
      <c r="CN40" s="66">
        <f>CN35*CN32*$E$21</f>
        <v>0</v>
      </c>
      <c r="CO40" s="58">
        <f>SUM(BT40:CN40)</f>
        <v>0</v>
      </c>
      <c r="CP40" s="74"/>
      <c r="CQ40" s="93"/>
    </row>
    <row r="41" spans="2:95" x14ac:dyDescent="0.25">
      <c r="B41" s="67" t="s">
        <v>50</v>
      </c>
      <c r="C41" s="156" t="s">
        <v>8</v>
      </c>
      <c r="D41" s="156"/>
      <c r="E41" s="157">
        <f>$D$86*($D$3/$D$87)^$D$88</f>
        <v>-2003.2214675054588</v>
      </c>
      <c r="F41" s="172">
        <v>0</v>
      </c>
      <c r="G41" s="172">
        <v>0</v>
      </c>
      <c r="H41" s="172">
        <v>0</v>
      </c>
      <c r="I41" s="172">
        <v>0</v>
      </c>
      <c r="J41" s="172">
        <v>0</v>
      </c>
      <c r="K41" s="172">
        <v>0</v>
      </c>
      <c r="L41" s="172">
        <v>0</v>
      </c>
      <c r="M41" s="172">
        <v>0</v>
      </c>
      <c r="N41" s="172">
        <v>0</v>
      </c>
      <c r="O41" s="172">
        <v>0</v>
      </c>
      <c r="P41" s="172">
        <v>0</v>
      </c>
      <c r="Q41" s="172">
        <v>0</v>
      </c>
      <c r="R41" s="172">
        <v>0</v>
      </c>
      <c r="S41" s="172">
        <v>0</v>
      </c>
      <c r="T41" s="172">
        <v>0</v>
      </c>
      <c r="U41" s="172">
        <v>0</v>
      </c>
      <c r="V41" s="172">
        <v>0</v>
      </c>
      <c r="W41" s="172">
        <v>0</v>
      </c>
      <c r="X41" s="172">
        <v>0</v>
      </c>
      <c r="Y41" s="173">
        <v>0</v>
      </c>
      <c r="Z41" s="158"/>
      <c r="AA41" s="159"/>
      <c r="AB41" s="77"/>
      <c r="AI41" s="67" t="s">
        <v>50</v>
      </c>
      <c r="AJ41" s="31" t="s">
        <v>8</v>
      </c>
      <c r="AK41" s="31"/>
      <c r="AL41" s="59">
        <f>$D$86*($D$3/$D$87)^$D$88</f>
        <v>-2003.2214675054588</v>
      </c>
      <c r="AM41" s="50">
        <v>0</v>
      </c>
      <c r="AN41" s="50">
        <v>0</v>
      </c>
      <c r="AO41" s="50">
        <v>0</v>
      </c>
      <c r="AP41" s="50">
        <v>0</v>
      </c>
      <c r="AQ41" s="50">
        <v>0</v>
      </c>
      <c r="AR41" s="50">
        <v>0</v>
      </c>
      <c r="AS41" s="50">
        <v>0</v>
      </c>
      <c r="AT41" s="50">
        <v>0</v>
      </c>
      <c r="AU41" s="50">
        <v>0</v>
      </c>
      <c r="AV41" s="50">
        <v>0</v>
      </c>
      <c r="AW41" s="50">
        <v>0</v>
      </c>
      <c r="AX41" s="50">
        <v>0</v>
      </c>
      <c r="AY41" s="50">
        <v>0</v>
      </c>
      <c r="AZ41" s="50">
        <v>0</v>
      </c>
      <c r="BA41" s="50">
        <v>0</v>
      </c>
      <c r="BB41" s="50">
        <v>0</v>
      </c>
      <c r="BC41" s="50">
        <v>0</v>
      </c>
      <c r="BD41" s="50">
        <v>0</v>
      </c>
      <c r="BE41" s="50">
        <v>0</v>
      </c>
      <c r="BF41" s="60">
        <v>0</v>
      </c>
      <c r="BG41" s="51"/>
      <c r="BH41" s="52"/>
      <c r="BI41" s="77"/>
      <c r="BQ41" s="67" t="s">
        <v>50</v>
      </c>
      <c r="BR41" s="31" t="s">
        <v>8</v>
      </c>
      <c r="BS41" s="31"/>
      <c r="BT41" s="59">
        <f>$D$86*($D$3/$D$87)^$D$88</f>
        <v>-2003.2214675054588</v>
      </c>
      <c r="BU41" s="50">
        <v>0</v>
      </c>
      <c r="BV41" s="50">
        <v>0</v>
      </c>
      <c r="BW41" s="50">
        <v>0</v>
      </c>
      <c r="BX41" s="50">
        <v>0</v>
      </c>
      <c r="BY41" s="50">
        <v>0</v>
      </c>
      <c r="BZ41" s="50">
        <v>0</v>
      </c>
      <c r="CA41" s="50">
        <v>0</v>
      </c>
      <c r="CB41" s="50">
        <v>0</v>
      </c>
      <c r="CC41" s="50">
        <v>0</v>
      </c>
      <c r="CD41" s="50">
        <v>0</v>
      </c>
      <c r="CE41" s="50">
        <v>0</v>
      </c>
      <c r="CF41" s="50">
        <v>0</v>
      </c>
      <c r="CG41" s="50">
        <v>0</v>
      </c>
      <c r="CH41" s="50">
        <v>0</v>
      </c>
      <c r="CI41" s="50">
        <v>0</v>
      </c>
      <c r="CJ41" s="50">
        <v>0</v>
      </c>
      <c r="CK41" s="50">
        <v>0</v>
      </c>
      <c r="CL41" s="50">
        <v>0</v>
      </c>
      <c r="CM41" s="50">
        <v>0</v>
      </c>
      <c r="CN41" s="60">
        <v>0</v>
      </c>
      <c r="CO41" s="51"/>
      <c r="CP41" s="52"/>
      <c r="CQ41" s="93"/>
    </row>
    <row r="42" spans="2:95" x14ac:dyDescent="0.25">
      <c r="B42" s="68"/>
      <c r="C42" s="53" t="s">
        <v>56</v>
      </c>
      <c r="D42" s="53"/>
      <c r="E42" s="61">
        <v>0</v>
      </c>
      <c r="F42" s="54">
        <f>F25</f>
        <v>1173.3960975230971</v>
      </c>
      <c r="G42" s="54">
        <f>G25</f>
        <v>1086.4778680769418</v>
      </c>
      <c r="H42" s="54">
        <f>H25</f>
        <v>1005.9980259971683</v>
      </c>
      <c r="I42" s="54">
        <f>I25</f>
        <v>931.47965370108159</v>
      </c>
      <c r="J42" s="54">
        <f>J25</f>
        <v>862.4811608343349</v>
      </c>
      <c r="K42" s="54">
        <f>K25</f>
        <v>798.59366743919873</v>
      </c>
      <c r="L42" s="54">
        <f>L25</f>
        <v>739.43858096222118</v>
      </c>
      <c r="M42" s="54">
        <f>M25</f>
        <v>684.66535274279727</v>
      </c>
      <c r="N42" s="54">
        <f>N25</f>
        <v>633.94940068777532</v>
      </c>
      <c r="O42" s="54">
        <f>O25</f>
        <v>586.99018582201404</v>
      </c>
      <c r="P42" s="54">
        <f>P25</f>
        <v>543.50943131667975</v>
      </c>
      <c r="Q42" s="54">
        <f>Q25</f>
        <v>503.24947344137001</v>
      </c>
      <c r="R42" s="54">
        <f>R25</f>
        <v>465.97173466793521</v>
      </c>
      <c r="S42" s="54">
        <f>S25</f>
        <v>431.45530987771775</v>
      </c>
      <c r="T42" s="54">
        <f>T25</f>
        <v>399.49565729418305</v>
      </c>
      <c r="U42" s="54">
        <f>U25</f>
        <v>369.90338638350283</v>
      </c>
      <c r="V42" s="54">
        <f>V25</f>
        <v>342.50313554028043</v>
      </c>
      <c r="W42" s="54">
        <f>W25</f>
        <v>317.13253290766698</v>
      </c>
      <c r="X42" s="54">
        <f>X25</f>
        <v>293.64123417376572</v>
      </c>
      <c r="Y42" s="62">
        <f>Y25</f>
        <v>271.89003164237567</v>
      </c>
      <c r="Z42" s="55">
        <f>SUM(E42:Y42)</f>
        <v>12442.221921032105</v>
      </c>
      <c r="AA42" s="73">
        <f>SUM(Z42:Z45)</f>
        <v>11968.597707901587</v>
      </c>
      <c r="AB42" s="77"/>
      <c r="AI42" s="68"/>
      <c r="AJ42" s="53" t="s">
        <v>56</v>
      </c>
      <c r="AK42" s="53"/>
      <c r="AL42" s="61">
        <v>0</v>
      </c>
      <c r="AM42" s="54">
        <f>F42</f>
        <v>1173.3960975230971</v>
      </c>
      <c r="AN42" s="54">
        <f t="shared" ref="AN42:BF42" si="16">G42</f>
        <v>1086.4778680769418</v>
      </c>
      <c r="AO42" s="54">
        <f t="shared" si="16"/>
        <v>1005.9980259971683</v>
      </c>
      <c r="AP42" s="54">
        <f t="shared" si="16"/>
        <v>931.47965370108159</v>
      </c>
      <c r="AQ42" s="54">
        <f t="shared" si="16"/>
        <v>862.4811608343349</v>
      </c>
      <c r="AR42" s="54">
        <f t="shared" si="16"/>
        <v>798.59366743919873</v>
      </c>
      <c r="AS42" s="54">
        <f t="shared" si="16"/>
        <v>739.43858096222118</v>
      </c>
      <c r="AT42" s="54">
        <f t="shared" si="16"/>
        <v>684.66535274279727</v>
      </c>
      <c r="AU42" s="54">
        <f t="shared" si="16"/>
        <v>633.94940068777532</v>
      </c>
      <c r="AV42" s="54">
        <f t="shared" si="16"/>
        <v>586.99018582201404</v>
      </c>
      <c r="AW42" s="54">
        <f t="shared" si="16"/>
        <v>543.50943131667975</v>
      </c>
      <c r="AX42" s="54">
        <f t="shared" si="16"/>
        <v>503.24947344137001</v>
      </c>
      <c r="AY42" s="54">
        <f t="shared" si="16"/>
        <v>465.97173466793521</v>
      </c>
      <c r="AZ42" s="54">
        <f t="shared" si="16"/>
        <v>431.45530987771775</v>
      </c>
      <c r="BA42" s="54">
        <f t="shared" si="16"/>
        <v>399.49565729418305</v>
      </c>
      <c r="BB42" s="54">
        <f t="shared" si="16"/>
        <v>369.90338638350283</v>
      </c>
      <c r="BC42" s="54">
        <f t="shared" si="16"/>
        <v>342.50313554028043</v>
      </c>
      <c r="BD42" s="54">
        <f t="shared" si="16"/>
        <v>317.13253290766698</v>
      </c>
      <c r="BE42" s="54">
        <f t="shared" si="16"/>
        <v>293.64123417376572</v>
      </c>
      <c r="BF42" s="62">
        <f t="shared" si="16"/>
        <v>271.89003164237567</v>
      </c>
      <c r="BG42" s="55">
        <f>SUM(AL42:BF42)</f>
        <v>12442.221921032105</v>
      </c>
      <c r="BH42" s="73">
        <f>SUM(BG42:BG45)</f>
        <v>11968.597707901587</v>
      </c>
      <c r="BI42" s="77"/>
      <c r="BQ42" s="68"/>
      <c r="BR42" s="53" t="s">
        <v>56</v>
      </c>
      <c r="BS42" s="53"/>
      <c r="BT42" s="61">
        <v>0</v>
      </c>
      <c r="BU42" s="54">
        <f>AM42</f>
        <v>1173.3960975230971</v>
      </c>
      <c r="BV42" s="54">
        <f t="shared" ref="BV42:CN42" si="17">AN42</f>
        <v>1086.4778680769418</v>
      </c>
      <c r="BW42" s="54">
        <f t="shared" si="17"/>
        <v>1005.9980259971683</v>
      </c>
      <c r="BX42" s="54">
        <f t="shared" si="17"/>
        <v>931.47965370108159</v>
      </c>
      <c r="BY42" s="54">
        <f t="shared" si="17"/>
        <v>862.4811608343349</v>
      </c>
      <c r="BZ42" s="54">
        <f t="shared" si="17"/>
        <v>798.59366743919873</v>
      </c>
      <c r="CA42" s="54">
        <f t="shared" si="17"/>
        <v>739.43858096222118</v>
      </c>
      <c r="CB42" s="54">
        <f t="shared" si="17"/>
        <v>684.66535274279727</v>
      </c>
      <c r="CC42" s="54">
        <f t="shared" si="17"/>
        <v>633.94940068777532</v>
      </c>
      <c r="CD42" s="54">
        <f t="shared" si="17"/>
        <v>586.99018582201404</v>
      </c>
      <c r="CE42" s="54">
        <f t="shared" si="17"/>
        <v>543.50943131667975</v>
      </c>
      <c r="CF42" s="54">
        <f t="shared" si="17"/>
        <v>503.24947344137001</v>
      </c>
      <c r="CG42" s="54">
        <f t="shared" si="17"/>
        <v>465.97173466793521</v>
      </c>
      <c r="CH42" s="54">
        <f t="shared" si="17"/>
        <v>431.45530987771775</v>
      </c>
      <c r="CI42" s="54">
        <f t="shared" si="17"/>
        <v>399.49565729418305</v>
      </c>
      <c r="CJ42" s="54">
        <f t="shared" si="17"/>
        <v>369.90338638350283</v>
      </c>
      <c r="CK42" s="54">
        <f t="shared" si="17"/>
        <v>342.50313554028043</v>
      </c>
      <c r="CL42" s="54">
        <f t="shared" si="17"/>
        <v>317.13253290766698</v>
      </c>
      <c r="CM42" s="54">
        <f t="shared" si="17"/>
        <v>293.64123417376572</v>
      </c>
      <c r="CN42" s="62">
        <f t="shared" si="17"/>
        <v>271.89003164237567</v>
      </c>
      <c r="CO42" s="55">
        <f>SUM(BT42:CN42)</f>
        <v>12442.221921032105</v>
      </c>
      <c r="CP42" s="73">
        <f>SUM(CO42:CO45)</f>
        <v>12442.221921032105</v>
      </c>
      <c r="CQ42" s="93"/>
    </row>
    <row r="43" spans="2:95" x14ac:dyDescent="0.25">
      <c r="B43" s="68"/>
      <c r="C43" s="53" t="s">
        <v>24</v>
      </c>
      <c r="D43" s="53"/>
      <c r="E43" s="61">
        <f>E41*E31</f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f>E41*T16*T17</f>
        <v>-473.62421313051971</v>
      </c>
      <c r="U43" s="54">
        <v>0</v>
      </c>
      <c r="V43" s="54">
        <v>0</v>
      </c>
      <c r="W43" s="54">
        <v>0</v>
      </c>
      <c r="X43" s="54">
        <v>0</v>
      </c>
      <c r="Y43" s="62">
        <v>0</v>
      </c>
      <c r="Z43" s="55">
        <f>SUM(E43:Y43)</f>
        <v>-473.62421313051971</v>
      </c>
      <c r="AA43" s="73"/>
      <c r="AB43" s="77"/>
      <c r="AI43" s="68"/>
      <c r="AJ43" s="53" t="s">
        <v>24</v>
      </c>
      <c r="AK43" s="53"/>
      <c r="AL43" s="61">
        <f>AL41*AL31</f>
        <v>0</v>
      </c>
      <c r="AM43" s="54">
        <v>0</v>
      </c>
      <c r="AN43" s="54">
        <v>0</v>
      </c>
      <c r="AO43" s="54">
        <v>0</v>
      </c>
      <c r="AP43" s="54">
        <v>0</v>
      </c>
      <c r="AQ43" s="54">
        <v>0</v>
      </c>
      <c r="AR43" s="54">
        <v>0</v>
      </c>
      <c r="AS43" s="54">
        <v>0</v>
      </c>
      <c r="AT43" s="54">
        <v>0</v>
      </c>
      <c r="AU43" s="54">
        <v>0</v>
      </c>
      <c r="AV43" s="54">
        <v>0</v>
      </c>
      <c r="AW43" s="54">
        <v>0</v>
      </c>
      <c r="AX43" s="54">
        <v>0</v>
      </c>
      <c r="AY43" s="54">
        <v>0</v>
      </c>
      <c r="AZ43" s="54">
        <v>0</v>
      </c>
      <c r="BA43" s="54">
        <f>AL41*BA13*BA14</f>
        <v>-473.62421313051971</v>
      </c>
      <c r="BB43" s="54">
        <v>0</v>
      </c>
      <c r="BC43" s="54">
        <v>0</v>
      </c>
      <c r="BD43" s="54">
        <v>0</v>
      </c>
      <c r="BE43" s="54">
        <v>0</v>
      </c>
      <c r="BF43" s="62">
        <v>0</v>
      </c>
      <c r="BG43" s="55">
        <f>SUM(AL43:BF43)</f>
        <v>-473.62421313051971</v>
      </c>
      <c r="BH43" s="73"/>
      <c r="BI43" s="77"/>
      <c r="BQ43" s="68"/>
      <c r="BR43" s="53" t="s">
        <v>24</v>
      </c>
      <c r="BS43" s="53"/>
      <c r="BT43" s="61">
        <f>BT41*BT31</f>
        <v>0</v>
      </c>
      <c r="BU43" s="54">
        <v>0</v>
      </c>
      <c r="BV43" s="54">
        <v>0</v>
      </c>
      <c r="BW43" s="54">
        <v>0</v>
      </c>
      <c r="BX43" s="54">
        <v>0</v>
      </c>
      <c r="BY43" s="54">
        <v>0</v>
      </c>
      <c r="BZ43" s="54">
        <v>0</v>
      </c>
      <c r="CA43" s="54">
        <v>0</v>
      </c>
      <c r="CB43" s="54">
        <v>0</v>
      </c>
      <c r="CC43" s="54">
        <v>0</v>
      </c>
      <c r="CD43" s="54">
        <v>0</v>
      </c>
      <c r="CE43" s="54">
        <v>0</v>
      </c>
      <c r="CF43" s="54">
        <v>0</v>
      </c>
      <c r="CG43" s="54">
        <v>0</v>
      </c>
      <c r="CH43" s="54">
        <v>0</v>
      </c>
      <c r="CI43" s="54">
        <f>BT41*CI16*CI17</f>
        <v>0</v>
      </c>
      <c r="CJ43" s="54">
        <v>0</v>
      </c>
      <c r="CK43" s="54">
        <v>0</v>
      </c>
      <c r="CL43" s="54">
        <v>0</v>
      </c>
      <c r="CM43" s="54">
        <v>0</v>
      </c>
      <c r="CN43" s="62">
        <v>0</v>
      </c>
      <c r="CO43" s="55">
        <f>SUM(BT43:CN43)</f>
        <v>0</v>
      </c>
      <c r="CP43" s="73"/>
      <c r="CQ43" s="93"/>
    </row>
    <row r="44" spans="2:95" x14ac:dyDescent="0.25">
      <c r="B44" s="68"/>
      <c r="C44" s="53" t="s">
        <v>52</v>
      </c>
      <c r="D44" s="53"/>
      <c r="E44" s="63">
        <f>-$E$24*E32*E35/100</f>
        <v>0</v>
      </c>
      <c r="F44" s="55">
        <f>-$E$24*F32*F35/100</f>
        <v>0</v>
      </c>
      <c r="G44" s="55">
        <f>-$E$24*G32*G35/100</f>
        <v>0</v>
      </c>
      <c r="H44" s="55">
        <f>-$E$24*H32*H35/100</f>
        <v>0</v>
      </c>
      <c r="I44" s="55">
        <f>-$E$24*I32*I35/100</f>
        <v>0</v>
      </c>
      <c r="J44" s="55">
        <f>-$E$24*J32*J35/100</f>
        <v>0</v>
      </c>
      <c r="K44" s="55">
        <f>-$E$24*K32*K35/100</f>
        <v>0</v>
      </c>
      <c r="L44" s="55">
        <f>-$E$24*L32*L35/100</f>
        <v>0</v>
      </c>
      <c r="M44" s="55">
        <f>-$E$24*M32*M35/100</f>
        <v>0</v>
      </c>
      <c r="N44" s="55">
        <f>-$E$24*N32*N35/100</f>
        <v>0</v>
      </c>
      <c r="O44" s="55">
        <f>-$E$24*O32*O35/100</f>
        <v>0</v>
      </c>
      <c r="P44" s="55">
        <f>-$E$24*P32*P35/100</f>
        <v>0</v>
      </c>
      <c r="Q44" s="55">
        <f>-$E$24*Q32*Q35/100</f>
        <v>0</v>
      </c>
      <c r="R44" s="55">
        <f>-$E$24*R32*R35/100</f>
        <v>0</v>
      </c>
      <c r="S44" s="55">
        <f>-$E$24*S32*S35/100</f>
        <v>0</v>
      </c>
      <c r="T44" s="55">
        <f>-$E$24*T32*T35/100</f>
        <v>0</v>
      </c>
      <c r="U44" s="55">
        <f>-$E$24*U32*U35/100</f>
        <v>0</v>
      </c>
      <c r="V44" s="55">
        <f>-$E$24*V32*V35/100</f>
        <v>0</v>
      </c>
      <c r="W44" s="55">
        <f>-$E$24*W32*W35/100</f>
        <v>0</v>
      </c>
      <c r="X44" s="55">
        <f>-$E$24*X32*X35/100</f>
        <v>0</v>
      </c>
      <c r="Y44" s="64">
        <f>-$E$24*Y32*Y35/100</f>
        <v>0</v>
      </c>
      <c r="Z44" s="55">
        <f>SUM(E44:Y44)</f>
        <v>0</v>
      </c>
      <c r="AA44" s="73"/>
      <c r="AB44" s="77"/>
      <c r="AI44" s="68"/>
      <c r="AJ44" s="53" t="s">
        <v>52</v>
      </c>
      <c r="AK44" s="53"/>
      <c r="AL44" s="63">
        <f>-$E$24*AL32*AL35/100</f>
        <v>0</v>
      </c>
      <c r="AM44" s="55">
        <f>-$E$24*AM32*AM35/100</f>
        <v>0</v>
      </c>
      <c r="AN44" s="55">
        <f>-$E$24*AN32*AN35/100</f>
        <v>0</v>
      </c>
      <c r="AO44" s="55">
        <f>-$E$24*AO32*AO35/100</f>
        <v>0</v>
      </c>
      <c r="AP44" s="55">
        <f>-$E$24*AP32*AP35/100</f>
        <v>0</v>
      </c>
      <c r="AQ44" s="55">
        <f>-$E$24*AQ32*AQ35/100</f>
        <v>0</v>
      </c>
      <c r="AR44" s="55">
        <f>-$E$24*AR32*AR35/100</f>
        <v>0</v>
      </c>
      <c r="AS44" s="55">
        <f>-$E$24*AS32*AS35/100</f>
        <v>0</v>
      </c>
      <c r="AT44" s="55">
        <f>-$E$24*AT32*AT35/100</f>
        <v>0</v>
      </c>
      <c r="AU44" s="55">
        <f>-$E$24*AU32*AU35/100</f>
        <v>0</v>
      </c>
      <c r="AV44" s="55">
        <f>-$E$24*AV32*AV35/100</f>
        <v>0</v>
      </c>
      <c r="AW44" s="55">
        <f>-$E$24*AW32*AW35/100</f>
        <v>0</v>
      </c>
      <c r="AX44" s="55">
        <f>-$E$24*AX32*AX35/100</f>
        <v>0</v>
      </c>
      <c r="AY44" s="55">
        <f>-$E$24*AY32*AY35/100</f>
        <v>0</v>
      </c>
      <c r="AZ44" s="55">
        <f>-$E$24*AZ32*AZ35/100</f>
        <v>0</v>
      </c>
      <c r="BA44" s="55">
        <f>-$E$24*BA32*BA35/100</f>
        <v>0</v>
      </c>
      <c r="BB44" s="55">
        <f>-$E$24*BB32*BB35/100</f>
        <v>0</v>
      </c>
      <c r="BC44" s="55">
        <f>-$E$24*BC32*BC35/100</f>
        <v>0</v>
      </c>
      <c r="BD44" s="55">
        <f>-$E$24*BD32*BD35/100</f>
        <v>0</v>
      </c>
      <c r="BE44" s="55">
        <f>-$E$24*BE32*BE35/100</f>
        <v>0</v>
      </c>
      <c r="BF44" s="64">
        <f>-$E$24*BF32*BF35/100</f>
        <v>0</v>
      </c>
      <c r="BG44" s="55">
        <f>SUM(AL44:BF44)</f>
        <v>0</v>
      </c>
      <c r="BH44" s="73"/>
      <c r="BI44" s="77"/>
      <c r="BQ44" s="68"/>
      <c r="BR44" s="53" t="s">
        <v>52</v>
      </c>
      <c r="BS44" s="53"/>
      <c r="BT44" s="63">
        <f>-$E$24*BT32*BT35/100</f>
        <v>0</v>
      </c>
      <c r="BU44" s="55">
        <f>-$E$24*BU32*BU35/100</f>
        <v>0</v>
      </c>
      <c r="BV44" s="55">
        <f>-$E$24*BV32*BV35/100</f>
        <v>0</v>
      </c>
      <c r="BW44" s="55">
        <f>-$E$24*BW32*BW35/100</f>
        <v>0</v>
      </c>
      <c r="BX44" s="55">
        <f>-$E$24*BX32*BX35/100</f>
        <v>0</v>
      </c>
      <c r="BY44" s="55">
        <f>-$E$24*BY32*BY35/100</f>
        <v>0</v>
      </c>
      <c r="BZ44" s="55">
        <f>-$E$24*BZ32*BZ35/100</f>
        <v>0</v>
      </c>
      <c r="CA44" s="55">
        <f>-$E$24*CA32*CA35/100</f>
        <v>0</v>
      </c>
      <c r="CB44" s="55">
        <f>-$E$24*CB32*CB35/100</f>
        <v>0</v>
      </c>
      <c r="CC44" s="55">
        <f>-$E$24*CC32*CC35/100</f>
        <v>0</v>
      </c>
      <c r="CD44" s="55">
        <f>-$E$24*CD32*CD35/100</f>
        <v>0</v>
      </c>
      <c r="CE44" s="55">
        <f>-$E$24*CE32*CE35/100</f>
        <v>0</v>
      </c>
      <c r="CF44" s="55">
        <f>-$E$24*CF32*CF35/100</f>
        <v>0</v>
      </c>
      <c r="CG44" s="55">
        <f>-$E$24*CG32*CG35/100</f>
        <v>0</v>
      </c>
      <c r="CH44" s="55">
        <f>-$E$24*CH32*CH35/100</f>
        <v>0</v>
      </c>
      <c r="CI44" s="55">
        <f>-$E$24*CI32*CI35/100</f>
        <v>0</v>
      </c>
      <c r="CJ44" s="55">
        <f>-$E$24*CJ32*CJ35/100</f>
        <v>0</v>
      </c>
      <c r="CK44" s="55">
        <f>-$E$24*CK32*CK35/100</f>
        <v>0</v>
      </c>
      <c r="CL44" s="55">
        <f>-$E$24*CL32*CL35/100</f>
        <v>0</v>
      </c>
      <c r="CM44" s="55">
        <f>-$E$24*CM32*CM35/100</f>
        <v>0</v>
      </c>
      <c r="CN44" s="64">
        <f>-$E$24*CN32*CN35/100</f>
        <v>0</v>
      </c>
      <c r="CO44" s="55">
        <f>SUM(BT44:CN44)</f>
        <v>0</v>
      </c>
      <c r="CP44" s="73"/>
      <c r="CQ44" s="93"/>
    </row>
    <row r="45" spans="2:95" ht="16.5" thickBot="1" x14ac:dyDescent="0.3">
      <c r="B45" s="69"/>
      <c r="C45" s="56" t="s">
        <v>53</v>
      </c>
      <c r="D45" s="56"/>
      <c r="E45" s="65">
        <f>$E$26*E32*E35/100</f>
        <v>0</v>
      </c>
      <c r="F45" s="57">
        <f>$E$26*F32*F35/100</f>
        <v>0</v>
      </c>
      <c r="G45" s="57">
        <f>$E$26*G32*G35/100</f>
        <v>0</v>
      </c>
      <c r="H45" s="57">
        <f>$E$26*H32*H35/100</f>
        <v>0</v>
      </c>
      <c r="I45" s="57">
        <f>$E$26*I32*I35/100</f>
        <v>0</v>
      </c>
      <c r="J45" s="57">
        <f>$E$26*J32*J35/100</f>
        <v>0</v>
      </c>
      <c r="K45" s="57">
        <f>$E$26*K32*K35/100</f>
        <v>0</v>
      </c>
      <c r="L45" s="57">
        <f>$E$26*L32*L35/100</f>
        <v>0</v>
      </c>
      <c r="M45" s="57">
        <f>$E$26*M32*M35/100</f>
        <v>0</v>
      </c>
      <c r="N45" s="57">
        <f>$E$26*N32*N35/100</f>
        <v>0</v>
      </c>
      <c r="O45" s="57">
        <f>$E$26*O32*O35/100</f>
        <v>0</v>
      </c>
      <c r="P45" s="57">
        <f>$E$26*P32*P35/100</f>
        <v>0</v>
      </c>
      <c r="Q45" s="57">
        <f>$E$26*Q32*Q35/100</f>
        <v>0</v>
      </c>
      <c r="R45" s="57">
        <f>$E$26*R32*R35/100</f>
        <v>0</v>
      </c>
      <c r="S45" s="57">
        <f>$E$26*S32*S35/100</f>
        <v>0</v>
      </c>
      <c r="T45" s="57">
        <f>$E$26*T32*T35/100</f>
        <v>0</v>
      </c>
      <c r="U45" s="57">
        <f>$E$26*U32*U35/100</f>
        <v>0</v>
      </c>
      <c r="V45" s="57">
        <f>$E$26*V32*V35/100</f>
        <v>0</v>
      </c>
      <c r="W45" s="57">
        <f>$E$26*W32*W35/100</f>
        <v>0</v>
      </c>
      <c r="X45" s="57">
        <f>$E$26*X32*X35/100</f>
        <v>0</v>
      </c>
      <c r="Y45" s="66">
        <f>$E$26*Y32*Y35/100</f>
        <v>0</v>
      </c>
      <c r="Z45" s="58">
        <f>SUM(E45:Y45)</f>
        <v>0</v>
      </c>
      <c r="AA45" s="74"/>
      <c r="AB45" s="78"/>
      <c r="AI45" s="69"/>
      <c r="AJ45" s="56" t="s">
        <v>53</v>
      </c>
      <c r="AK45" s="56"/>
      <c r="AL45" s="65">
        <f>$E$26*AL32*AL35/100</f>
        <v>0</v>
      </c>
      <c r="AM45" s="57">
        <f>$E$26*AM32*AM35/100</f>
        <v>0</v>
      </c>
      <c r="AN45" s="57">
        <f>$E$26*AN32*AN35/100</f>
        <v>0</v>
      </c>
      <c r="AO45" s="57">
        <f>$E$26*AO32*AO35/100</f>
        <v>0</v>
      </c>
      <c r="AP45" s="57">
        <f>$E$26*AP32*AP35/100</f>
        <v>0</v>
      </c>
      <c r="AQ45" s="57">
        <f>$E$26*AQ32*AQ35/100</f>
        <v>0</v>
      </c>
      <c r="AR45" s="57">
        <f>$E$26*AR32*AR35/100</f>
        <v>0</v>
      </c>
      <c r="AS45" s="57">
        <f>$E$26*AS32*AS35/100</f>
        <v>0</v>
      </c>
      <c r="AT45" s="57">
        <f>$E$26*AT32*AT35/100</f>
        <v>0</v>
      </c>
      <c r="AU45" s="57">
        <f>$E$26*AU32*AU35/100</f>
        <v>0</v>
      </c>
      <c r="AV45" s="57">
        <f>$E$26*AV32*AV35/100</f>
        <v>0</v>
      </c>
      <c r="AW45" s="57">
        <f>$E$26*AW32*AW35/100</f>
        <v>0</v>
      </c>
      <c r="AX45" s="57">
        <f>$E$26*AX32*AX35/100</f>
        <v>0</v>
      </c>
      <c r="AY45" s="57">
        <f>$E$26*AY32*AY35/100</f>
        <v>0</v>
      </c>
      <c r="AZ45" s="57">
        <f>$E$26*AZ32*AZ35/100</f>
        <v>0</v>
      </c>
      <c r="BA45" s="57">
        <f>$E$26*BA32*BA35/100</f>
        <v>0</v>
      </c>
      <c r="BB45" s="57">
        <f>$E$26*BB32*BB35/100</f>
        <v>0</v>
      </c>
      <c r="BC45" s="57">
        <f>$E$26*BC32*BC35/100</f>
        <v>0</v>
      </c>
      <c r="BD45" s="57">
        <f>$E$26*BD32*BD35/100</f>
        <v>0</v>
      </c>
      <c r="BE45" s="57">
        <f>$E$26*BE32*BE35/100</f>
        <v>0</v>
      </c>
      <c r="BF45" s="66">
        <f>$E$26*BF32*BF35/100</f>
        <v>0</v>
      </c>
      <c r="BG45" s="58">
        <f>SUM(AL45:BF45)</f>
        <v>0</v>
      </c>
      <c r="BH45" s="74"/>
      <c r="BI45" s="78"/>
      <c r="BQ45" s="69"/>
      <c r="BR45" s="56" t="s">
        <v>53</v>
      </c>
      <c r="BS45" s="56"/>
      <c r="BT45" s="65">
        <f>$E$26*BT32*BT35/100</f>
        <v>0</v>
      </c>
      <c r="BU45" s="57">
        <f>$E$26*BU32*BU35/100</f>
        <v>0</v>
      </c>
      <c r="BV45" s="57">
        <f>$E$26*BV32*BV35/100</f>
        <v>0</v>
      </c>
      <c r="BW45" s="57">
        <f>$E$26*BW32*BW35/100</f>
        <v>0</v>
      </c>
      <c r="BX45" s="57">
        <f>$E$26*BX32*BX35/100</f>
        <v>0</v>
      </c>
      <c r="BY45" s="57">
        <f>$E$26*BY32*BY35/100</f>
        <v>0</v>
      </c>
      <c r="BZ45" s="57">
        <f>$E$26*BZ32*BZ35/100</f>
        <v>0</v>
      </c>
      <c r="CA45" s="57">
        <f>$E$26*CA32*CA35/100</f>
        <v>0</v>
      </c>
      <c r="CB45" s="57">
        <f>$E$26*CB32*CB35/100</f>
        <v>0</v>
      </c>
      <c r="CC45" s="57">
        <f>$E$26*CC32*CC35/100</f>
        <v>0</v>
      </c>
      <c r="CD45" s="57">
        <f>$E$26*CD32*CD35/100</f>
        <v>0</v>
      </c>
      <c r="CE45" s="57">
        <f>$E$26*CE32*CE35/100</f>
        <v>0</v>
      </c>
      <c r="CF45" s="57">
        <f>$E$26*CF32*CF35/100</f>
        <v>0</v>
      </c>
      <c r="CG45" s="57">
        <f>$E$26*CG32*CG35/100</f>
        <v>0</v>
      </c>
      <c r="CH45" s="57">
        <f>$E$26*CH32*CH35/100</f>
        <v>0</v>
      </c>
      <c r="CI45" s="57">
        <f>$E$26*CI32*CI35/100</f>
        <v>0</v>
      </c>
      <c r="CJ45" s="57">
        <f>$E$26*CJ32*CJ35/100</f>
        <v>0</v>
      </c>
      <c r="CK45" s="57">
        <f>$E$26*CK32*CK35/100</f>
        <v>0</v>
      </c>
      <c r="CL45" s="57">
        <f>$E$26*CL32*CL35/100</f>
        <v>0</v>
      </c>
      <c r="CM45" s="57">
        <f>$E$26*CM32*CM35/100</f>
        <v>0</v>
      </c>
      <c r="CN45" s="66">
        <f>$E$26*CN32*CN35/100</f>
        <v>0</v>
      </c>
      <c r="CO45" s="58">
        <f>SUM(BT45:CN45)</f>
        <v>0</v>
      </c>
      <c r="CP45" s="74"/>
      <c r="CQ45" s="94"/>
    </row>
    <row r="47" spans="2:95" ht="16.5" thickBot="1" x14ac:dyDescent="0.3">
      <c r="AB47" s="5" t="s">
        <v>64</v>
      </c>
    </row>
    <row r="48" spans="2:95" x14ac:dyDescent="0.25">
      <c r="B48" s="67" t="s">
        <v>49</v>
      </c>
      <c r="C48" s="156" t="s">
        <v>8</v>
      </c>
      <c r="D48" s="156"/>
      <c r="E48" s="157">
        <f>$D$86*($D$2/$D$87)^$D$88</f>
        <v>-1002.3052380778997</v>
      </c>
      <c r="F48" s="172">
        <v>0</v>
      </c>
      <c r="G48" s="172">
        <v>0</v>
      </c>
      <c r="H48" s="172">
        <v>0</v>
      </c>
      <c r="I48" s="172">
        <v>0</v>
      </c>
      <c r="J48" s="172">
        <v>0</v>
      </c>
      <c r="K48" s="172">
        <v>0</v>
      </c>
      <c r="L48" s="172">
        <v>0</v>
      </c>
      <c r="M48" s="172">
        <v>0</v>
      </c>
      <c r="N48" s="172">
        <v>0</v>
      </c>
      <c r="O48" s="172">
        <v>0</v>
      </c>
      <c r="P48" s="172">
        <v>0</v>
      </c>
      <c r="Q48" s="172">
        <v>0</v>
      </c>
      <c r="R48" s="172">
        <v>0</v>
      </c>
      <c r="S48" s="172">
        <v>0</v>
      </c>
      <c r="T48" s="172">
        <v>0</v>
      </c>
      <c r="U48" s="172">
        <v>0</v>
      </c>
      <c r="V48" s="172">
        <v>0</v>
      </c>
      <c r="W48" s="172">
        <v>0</v>
      </c>
      <c r="X48" s="172">
        <v>0</v>
      </c>
      <c r="Y48" s="173">
        <v>0</v>
      </c>
      <c r="Z48" s="158"/>
      <c r="AA48" s="159"/>
      <c r="AB48" s="76" t="s">
        <v>60</v>
      </c>
    </row>
    <row r="49" spans="2:29" x14ac:dyDescent="0.25">
      <c r="B49" s="68"/>
      <c r="C49" s="53" t="s">
        <v>56</v>
      </c>
      <c r="D49" s="53"/>
      <c r="E49" s="61">
        <v>0</v>
      </c>
      <c r="F49" s="54">
        <f>F37</f>
        <v>586.6916181659451</v>
      </c>
      <c r="G49" s="54">
        <f>G37</f>
        <v>543.23297978328253</v>
      </c>
      <c r="H49" s="54">
        <f>H37</f>
        <v>502.99349979933567</v>
      </c>
      <c r="I49" s="54">
        <f>I37</f>
        <v>465.73472203642189</v>
      </c>
      <c r="J49" s="54">
        <f>J37</f>
        <v>431.23585373742765</v>
      </c>
      <c r="K49" s="54">
        <f>K37</f>
        <v>399.29245716428477</v>
      </c>
      <c r="L49" s="54">
        <f>L37</f>
        <v>369.71523811507853</v>
      </c>
      <c r="M49" s="54">
        <f>M37</f>
        <v>342.32892418062823</v>
      </c>
      <c r="N49" s="54">
        <f>N37</f>
        <v>316.97122609317432</v>
      </c>
      <c r="O49" s="54">
        <f>O37</f>
        <v>293.49187601219842</v>
      </c>
      <c r="P49" s="54">
        <f>P37</f>
        <v>271.75173704833185</v>
      </c>
      <c r="Q49" s="54">
        <f>Q37</f>
        <v>251.62197874845538</v>
      </c>
      <c r="R49" s="54">
        <f>R37</f>
        <v>232.98331365597721</v>
      </c>
      <c r="S49" s="54">
        <f>S37</f>
        <v>215.72529042220111</v>
      </c>
      <c r="T49" s="54">
        <f>T37</f>
        <v>199.7456392798158</v>
      </c>
      <c r="U49" s="54">
        <f>U37</f>
        <v>184.94966599982945</v>
      </c>
      <c r="V49" s="54">
        <f>V37</f>
        <v>171.24969074058285</v>
      </c>
      <c r="W49" s="54">
        <f>W37</f>
        <v>158.5645284635026</v>
      </c>
      <c r="X49" s="54">
        <f>X37</f>
        <v>146.81900783657647</v>
      </c>
      <c r="Y49" s="62">
        <f>Y37</f>
        <v>135.94352577460785</v>
      </c>
      <c r="Z49" s="55">
        <f>SUM(E49:Y49)</f>
        <v>6221.0427730576594</v>
      </c>
      <c r="AA49" s="73">
        <f>SUM(Z49:Z52)</f>
        <v>5814.9070233775337</v>
      </c>
      <c r="AB49" s="77"/>
    </row>
    <row r="50" spans="2:29" x14ac:dyDescent="0.25">
      <c r="B50" s="68"/>
      <c r="C50" s="53" t="s">
        <v>24</v>
      </c>
      <c r="D50" s="53"/>
      <c r="E50" s="63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f>$E$48*M16*M17</f>
        <v>-406.13574968012557</v>
      </c>
      <c r="N50" s="55">
        <v>0</v>
      </c>
      <c r="O50" s="55">
        <v>0</v>
      </c>
      <c r="P50" s="55">
        <v>0</v>
      </c>
      <c r="Q50" s="55">
        <v>0</v>
      </c>
      <c r="R50" s="55">
        <v>0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 s="55">
        <v>0</v>
      </c>
      <c r="Y50" s="64">
        <v>0</v>
      </c>
      <c r="Z50" s="55">
        <f>SUM(E50:Y50)</f>
        <v>-406.13574968012557</v>
      </c>
      <c r="AA50" s="73"/>
      <c r="AB50" s="77"/>
    </row>
    <row r="51" spans="2:29" x14ac:dyDescent="0.25">
      <c r="B51" s="68"/>
      <c r="C51" s="53" t="s">
        <v>52</v>
      </c>
      <c r="D51" s="53"/>
      <c r="E51" s="61">
        <f>-$E$19*E46/100*E47</f>
        <v>0</v>
      </c>
      <c r="F51" s="54">
        <f>-$E$19*F46/100*F47</f>
        <v>0</v>
      </c>
      <c r="G51" s="54">
        <f>-$E$19*G46/100*G47</f>
        <v>0</v>
      </c>
      <c r="H51" s="54">
        <f>-$E$19*H46/100*H47</f>
        <v>0</v>
      </c>
      <c r="I51" s="54">
        <f>-$E$19*I46/100*I47</f>
        <v>0</v>
      </c>
      <c r="J51" s="54">
        <f>-$E$19*J46/100*J47</f>
        <v>0</v>
      </c>
      <c r="K51" s="54">
        <f>-$E$19*K46/100*K47</f>
        <v>0</v>
      </c>
      <c r="L51" s="54">
        <f>-$E$19*L46/100*L47</f>
        <v>0</v>
      </c>
      <c r="M51" s="54">
        <f>-$E$19*M46/100*M47</f>
        <v>0</v>
      </c>
      <c r="N51" s="54">
        <f>-$E$19*N46/100*N47</f>
        <v>0</v>
      </c>
      <c r="O51" s="54">
        <f>-$E$19*O46/100*O47</f>
        <v>0</v>
      </c>
      <c r="P51" s="54">
        <f>-$E$19*P46/100*P47</f>
        <v>0</v>
      </c>
      <c r="Q51" s="54">
        <f>-$E$19*Q46/100*Q47</f>
        <v>0</v>
      </c>
      <c r="R51" s="54">
        <f>-$E$19*R46/100*R47</f>
        <v>0</v>
      </c>
      <c r="S51" s="54">
        <f>-$E$19*S46/100*S47</f>
        <v>0</v>
      </c>
      <c r="T51" s="54">
        <f>-$E$19*T46/100*T47</f>
        <v>0</v>
      </c>
      <c r="U51" s="54">
        <f>-$E$19*U46/100*U47</f>
        <v>0</v>
      </c>
      <c r="V51" s="54">
        <f>-$E$19*V46/100*V47</f>
        <v>0</v>
      </c>
      <c r="W51" s="54">
        <f>-$E$19*W46/100*W47</f>
        <v>0</v>
      </c>
      <c r="X51" s="54">
        <f>-$E$19*X46/100*X47</f>
        <v>0</v>
      </c>
      <c r="Y51" s="62">
        <f>-$E$19*Y46/100*Y47</f>
        <v>0</v>
      </c>
      <c r="Z51" s="55">
        <f t="shared" ref="Z51:Z52" si="18">SUM(E51:Y51)</f>
        <v>0</v>
      </c>
      <c r="AA51" s="73"/>
      <c r="AB51" s="77"/>
    </row>
    <row r="52" spans="2:29" ht="16.5" thickBot="1" x14ac:dyDescent="0.3">
      <c r="B52" s="69"/>
      <c r="C52" s="56" t="s">
        <v>53</v>
      </c>
      <c r="D52" s="56"/>
      <c r="E52" s="65">
        <f>E47*E46/100*$E$21</f>
        <v>0</v>
      </c>
      <c r="F52" s="57">
        <f>F47*F46/100*$E$21</f>
        <v>0</v>
      </c>
      <c r="G52" s="57">
        <f>G47*G46/100*$E$21</f>
        <v>0</v>
      </c>
      <c r="H52" s="57">
        <f>H47*H46/100*$E$21</f>
        <v>0</v>
      </c>
      <c r="I52" s="57">
        <f>I47*I46/100*$E$21</f>
        <v>0</v>
      </c>
      <c r="J52" s="57">
        <f>J47*J46/100*$E$21</f>
        <v>0</v>
      </c>
      <c r="K52" s="57">
        <f>K47*K46/100*$E$21</f>
        <v>0</v>
      </c>
      <c r="L52" s="57">
        <f>L47*L46/100*$E$21</f>
        <v>0</v>
      </c>
      <c r="M52" s="57">
        <f>M47*M46/100*$E$21</f>
        <v>0</v>
      </c>
      <c r="N52" s="57">
        <f>N47*N46/100*$E$21</f>
        <v>0</v>
      </c>
      <c r="O52" s="57">
        <f>O47*O46/100*$E$21</f>
        <v>0</v>
      </c>
      <c r="P52" s="57">
        <f>P47*P46/100*$E$21</f>
        <v>0</v>
      </c>
      <c r="Q52" s="57">
        <f>Q47*Q46/100*$E$21</f>
        <v>0</v>
      </c>
      <c r="R52" s="57">
        <f>R47*R46/100*$E$21</f>
        <v>0</v>
      </c>
      <c r="S52" s="57">
        <f>S47*S46/100*$E$21</f>
        <v>0</v>
      </c>
      <c r="T52" s="57">
        <f>T47*T46/100*$E$21</f>
        <v>0</v>
      </c>
      <c r="U52" s="57">
        <f>U47*U46/100*$E$21</f>
        <v>0</v>
      </c>
      <c r="V52" s="57">
        <f>V47*V46/100*$E$21</f>
        <v>0</v>
      </c>
      <c r="W52" s="57">
        <f>W47*W46/100*$E$21</f>
        <v>0</v>
      </c>
      <c r="X52" s="57">
        <f>X47*X46/100*$E$21</f>
        <v>0</v>
      </c>
      <c r="Y52" s="66">
        <f>Y47*Y46*$E$21</f>
        <v>0</v>
      </c>
      <c r="Z52" s="58">
        <f t="shared" si="18"/>
        <v>0</v>
      </c>
      <c r="AA52" s="74"/>
      <c r="AB52" s="77"/>
    </row>
    <row r="53" spans="2:29" x14ac:dyDescent="0.25">
      <c r="B53" s="67" t="s">
        <v>50</v>
      </c>
      <c r="C53" s="156" t="s">
        <v>8</v>
      </c>
      <c r="D53" s="156"/>
      <c r="E53" s="157">
        <f>$D$86*($D$3/$D$87)^$D$88</f>
        <v>-2003.2214675054588</v>
      </c>
      <c r="F53" s="172">
        <v>0</v>
      </c>
      <c r="G53" s="172">
        <v>0</v>
      </c>
      <c r="H53" s="172">
        <v>0</v>
      </c>
      <c r="I53" s="172">
        <v>0</v>
      </c>
      <c r="J53" s="172">
        <v>0</v>
      </c>
      <c r="K53" s="172">
        <v>0</v>
      </c>
      <c r="L53" s="172">
        <v>0</v>
      </c>
      <c r="M53" s="172">
        <v>0</v>
      </c>
      <c r="N53" s="172">
        <v>0</v>
      </c>
      <c r="O53" s="172">
        <v>0</v>
      </c>
      <c r="P53" s="172">
        <v>0</v>
      </c>
      <c r="Q53" s="172">
        <v>0</v>
      </c>
      <c r="R53" s="172">
        <v>0</v>
      </c>
      <c r="S53" s="172">
        <v>0</v>
      </c>
      <c r="T53" s="172">
        <v>0</v>
      </c>
      <c r="U53" s="172">
        <v>0</v>
      </c>
      <c r="V53" s="172">
        <v>0</v>
      </c>
      <c r="W53" s="172">
        <v>0</v>
      </c>
      <c r="X53" s="172">
        <v>0</v>
      </c>
      <c r="Y53" s="173">
        <v>0</v>
      </c>
      <c r="Z53" s="158"/>
      <c r="AA53" s="159"/>
      <c r="AB53" s="77"/>
    </row>
    <row r="54" spans="2:29" x14ac:dyDescent="0.25">
      <c r="B54" s="68"/>
      <c r="C54" s="53" t="s">
        <v>56</v>
      </c>
      <c r="D54" s="53"/>
      <c r="E54" s="61">
        <v>0</v>
      </c>
      <c r="F54" s="54">
        <f>F42</f>
        <v>1173.3960975230971</v>
      </c>
      <c r="G54" s="54">
        <f>G42</f>
        <v>1086.4778680769418</v>
      </c>
      <c r="H54" s="54">
        <f>H42</f>
        <v>1005.9980259971683</v>
      </c>
      <c r="I54" s="54">
        <f>I42</f>
        <v>931.47965370108159</v>
      </c>
      <c r="J54" s="54">
        <f>J42</f>
        <v>862.4811608343349</v>
      </c>
      <c r="K54" s="54">
        <f>K42</f>
        <v>798.59366743919873</v>
      </c>
      <c r="L54" s="54">
        <f>L42</f>
        <v>739.43858096222118</v>
      </c>
      <c r="M54" s="54">
        <f>M42</f>
        <v>684.66535274279727</v>
      </c>
      <c r="N54" s="54">
        <f>N42</f>
        <v>633.94940068777532</v>
      </c>
      <c r="O54" s="54">
        <f>O42</f>
        <v>586.99018582201404</v>
      </c>
      <c r="P54" s="54">
        <f>P42</f>
        <v>543.50943131667975</v>
      </c>
      <c r="Q54" s="54">
        <f>Q42</f>
        <v>503.24947344137001</v>
      </c>
      <c r="R54" s="54">
        <f>R42</f>
        <v>465.97173466793521</v>
      </c>
      <c r="S54" s="54">
        <f>S42</f>
        <v>431.45530987771775</v>
      </c>
      <c r="T54" s="54">
        <f>T42</f>
        <v>399.49565729418305</v>
      </c>
      <c r="U54" s="54">
        <f>U42</f>
        <v>369.90338638350283</v>
      </c>
      <c r="V54" s="54">
        <f>V42</f>
        <v>342.50313554028043</v>
      </c>
      <c r="W54" s="54">
        <f>W42</f>
        <v>317.13253290766698</v>
      </c>
      <c r="X54" s="54">
        <f>X42</f>
        <v>293.64123417376572</v>
      </c>
      <c r="Y54" s="62">
        <f>Y42</f>
        <v>271.89003164237567</v>
      </c>
      <c r="Z54" s="55">
        <f>SUM(E54:Y54)</f>
        <v>12442.221921032105</v>
      </c>
      <c r="AA54" s="73">
        <f>SUM(Z54:Z57)</f>
        <v>11630.513250287417</v>
      </c>
      <c r="AB54" s="77"/>
    </row>
    <row r="55" spans="2:29" x14ac:dyDescent="0.25">
      <c r="B55" s="68"/>
      <c r="C55" s="53" t="s">
        <v>24</v>
      </c>
      <c r="D55" s="53"/>
      <c r="E55" s="61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f>$E$53*M16*M17</f>
        <v>-811.7086707446889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4">
        <v>0</v>
      </c>
      <c r="T55" s="54">
        <f>E53*T29*T30</f>
        <v>0</v>
      </c>
      <c r="U55" s="54">
        <v>0</v>
      </c>
      <c r="V55" s="54">
        <v>0</v>
      </c>
      <c r="W55" s="54">
        <v>0</v>
      </c>
      <c r="X55" s="54">
        <v>0</v>
      </c>
      <c r="Y55" s="62">
        <v>0</v>
      </c>
      <c r="Z55" s="55">
        <f t="shared" ref="Z55:Z57" si="19">SUM(E55:Y55)</f>
        <v>-811.7086707446889</v>
      </c>
      <c r="AA55" s="73"/>
      <c r="AB55" s="77"/>
    </row>
    <row r="56" spans="2:29" x14ac:dyDescent="0.25">
      <c r="B56" s="68"/>
      <c r="C56" s="53" t="s">
        <v>52</v>
      </c>
      <c r="D56" s="53"/>
      <c r="E56" s="63">
        <f>-$E$24*E46*E47/100</f>
        <v>0</v>
      </c>
      <c r="F56" s="55">
        <f>-$E$24*F46*F47/100</f>
        <v>0</v>
      </c>
      <c r="G56" s="55">
        <f>-$E$24*G46*G47/100</f>
        <v>0</v>
      </c>
      <c r="H56" s="55">
        <f>-$E$24*H46*H47/100</f>
        <v>0</v>
      </c>
      <c r="I56" s="55">
        <f>-$E$24*I46*I47/100</f>
        <v>0</v>
      </c>
      <c r="J56" s="55">
        <f>-$E$24*J46*J47/100</f>
        <v>0</v>
      </c>
      <c r="K56" s="55">
        <f>-$E$24*K46*K47/100</f>
        <v>0</v>
      </c>
      <c r="L56" s="55">
        <f>-$E$24*L46*L47/100</f>
        <v>0</v>
      </c>
      <c r="M56" s="55">
        <f>-$E$24*M46*M47/100</f>
        <v>0</v>
      </c>
      <c r="N56" s="55">
        <f>-$E$24*N46*N47/100</f>
        <v>0</v>
      </c>
      <c r="O56" s="55">
        <f>-$E$24*O46*O47/100</f>
        <v>0</v>
      </c>
      <c r="P56" s="55">
        <f>-$E$24*P46*P47/100</f>
        <v>0</v>
      </c>
      <c r="Q56" s="55">
        <f>-$E$24*Q46*Q47/100</f>
        <v>0</v>
      </c>
      <c r="R56" s="55">
        <f>-$E$24*R46*R47/100</f>
        <v>0</v>
      </c>
      <c r="S56" s="55">
        <f>-$E$24*S46*S47/100</f>
        <v>0</v>
      </c>
      <c r="T56" s="55">
        <f>-$E$24*T46*T47/100</f>
        <v>0</v>
      </c>
      <c r="U56" s="55">
        <f>-$E$24*U46*U47/100</f>
        <v>0</v>
      </c>
      <c r="V56" s="55">
        <f>-$E$24*V46*V47/100</f>
        <v>0</v>
      </c>
      <c r="W56" s="55">
        <f>-$E$24*W46*W47/100</f>
        <v>0</v>
      </c>
      <c r="X56" s="55">
        <f>-$E$24*X46*X47/100</f>
        <v>0</v>
      </c>
      <c r="Y56" s="64">
        <f>-$E$24*Y46*Y47/100</f>
        <v>0</v>
      </c>
      <c r="Z56" s="55">
        <f t="shared" si="19"/>
        <v>0</v>
      </c>
      <c r="AA56" s="73"/>
      <c r="AB56" s="77"/>
    </row>
    <row r="57" spans="2:29" ht="16.5" thickBot="1" x14ac:dyDescent="0.3">
      <c r="B57" s="69"/>
      <c r="C57" s="56" t="s">
        <v>53</v>
      </c>
      <c r="D57" s="56"/>
      <c r="E57" s="65">
        <f>$E$26*E46*E47/100</f>
        <v>0</v>
      </c>
      <c r="F57" s="57">
        <f>$E$26*F46*F47/100</f>
        <v>0</v>
      </c>
      <c r="G57" s="57">
        <f>$E$26*G46*G47/100</f>
        <v>0</v>
      </c>
      <c r="H57" s="57">
        <f>$E$26*H46*H47/100</f>
        <v>0</v>
      </c>
      <c r="I57" s="57">
        <f>$E$26*I46*I47/100</f>
        <v>0</v>
      </c>
      <c r="J57" s="57">
        <f>$E$26*J46*J47/100</f>
        <v>0</v>
      </c>
      <c r="K57" s="57">
        <f>$E$26*K46*K47/100</f>
        <v>0</v>
      </c>
      <c r="L57" s="57">
        <f>$E$26*L46*L47/100</f>
        <v>0</v>
      </c>
      <c r="M57" s="57">
        <f>$E$26*M46*M47/100</f>
        <v>0</v>
      </c>
      <c r="N57" s="57">
        <f>$E$26*N46*N47/100</f>
        <v>0</v>
      </c>
      <c r="O57" s="57">
        <f>$E$26*O46*O47/100</f>
        <v>0</v>
      </c>
      <c r="P57" s="57">
        <f>$E$26*P46*P47/100</f>
        <v>0</v>
      </c>
      <c r="Q57" s="57">
        <f>$E$26*Q46*Q47/100</f>
        <v>0</v>
      </c>
      <c r="R57" s="57">
        <f>$E$26*R46*R47/100</f>
        <v>0</v>
      </c>
      <c r="S57" s="57">
        <f>$E$26*S46*S47/100</f>
        <v>0</v>
      </c>
      <c r="T57" s="57">
        <f>$E$26*T46*T47/100</f>
        <v>0</v>
      </c>
      <c r="U57" s="57">
        <f>$E$26*U46*U47/100</f>
        <v>0</v>
      </c>
      <c r="V57" s="57">
        <f>$E$26*V46*V47/100</f>
        <v>0</v>
      </c>
      <c r="W57" s="57">
        <f>$E$26*W46*W47/100</f>
        <v>0</v>
      </c>
      <c r="X57" s="57">
        <f>$E$26*X46*X47/100</f>
        <v>0</v>
      </c>
      <c r="Y57" s="66">
        <f>$E$26*Y46*Y47/100</f>
        <v>0</v>
      </c>
      <c r="Z57" s="58">
        <f t="shared" si="19"/>
        <v>0</v>
      </c>
      <c r="AA57" s="74"/>
      <c r="AB57" s="78"/>
    </row>
    <row r="59" spans="2:29" ht="16.5" thickBot="1" x14ac:dyDescent="0.3">
      <c r="AB59" s="5" t="s">
        <v>63</v>
      </c>
    </row>
    <row r="60" spans="2:29" x14ac:dyDescent="0.25">
      <c r="B60" s="67" t="s">
        <v>49</v>
      </c>
      <c r="C60" s="156" t="s">
        <v>8</v>
      </c>
      <c r="D60" s="156"/>
      <c r="E60" s="157">
        <f>$D$86*($D$2/$D$87)^$D$88</f>
        <v>-1002.3052380778997</v>
      </c>
      <c r="F60" s="172">
        <v>0</v>
      </c>
      <c r="G60" s="172">
        <v>0</v>
      </c>
      <c r="H60" s="172">
        <v>0</v>
      </c>
      <c r="I60" s="172">
        <v>0</v>
      </c>
      <c r="J60" s="172">
        <v>0</v>
      </c>
      <c r="K60" s="172">
        <v>0</v>
      </c>
      <c r="L60" s="172">
        <v>0</v>
      </c>
      <c r="M60" s="172">
        <v>0</v>
      </c>
      <c r="N60" s="172">
        <v>0</v>
      </c>
      <c r="O60" s="172">
        <v>0</v>
      </c>
      <c r="P60" s="172">
        <v>0</v>
      </c>
      <c r="Q60" s="172">
        <v>0</v>
      </c>
      <c r="R60" s="172">
        <v>0</v>
      </c>
      <c r="S60" s="172">
        <v>0</v>
      </c>
      <c r="T60" s="172">
        <v>0</v>
      </c>
      <c r="U60" s="172">
        <v>0</v>
      </c>
      <c r="V60" s="172">
        <v>0</v>
      </c>
      <c r="W60" s="172">
        <v>0</v>
      </c>
      <c r="X60" s="172">
        <v>0</v>
      </c>
      <c r="Y60" s="173">
        <v>0</v>
      </c>
      <c r="Z60" s="158"/>
      <c r="AA60" s="159"/>
      <c r="AB60" s="76" t="s">
        <v>60</v>
      </c>
      <c r="AC60" s="79" t="s">
        <v>66</v>
      </c>
    </row>
    <row r="61" spans="2:29" x14ac:dyDescent="0.25">
      <c r="B61" s="68"/>
      <c r="C61" s="53" t="s">
        <v>56</v>
      </c>
      <c r="D61" s="53"/>
      <c r="E61" s="61">
        <v>0</v>
      </c>
      <c r="F61" s="54">
        <f>F37</f>
        <v>586.6916181659451</v>
      </c>
      <c r="G61" s="54">
        <f t="shared" ref="G61:Y61" si="20">G37</f>
        <v>543.23297978328253</v>
      </c>
      <c r="H61" s="54">
        <f t="shared" si="20"/>
        <v>502.99349979933567</v>
      </c>
      <c r="I61" s="54">
        <f t="shared" si="20"/>
        <v>465.73472203642189</v>
      </c>
      <c r="J61" s="54">
        <f t="shared" si="20"/>
        <v>431.23585373742765</v>
      </c>
      <c r="K61" s="54">
        <f t="shared" si="20"/>
        <v>399.29245716428477</v>
      </c>
      <c r="L61" s="54">
        <f t="shared" si="20"/>
        <v>369.71523811507853</v>
      </c>
      <c r="M61" s="54">
        <f t="shared" si="20"/>
        <v>342.32892418062823</v>
      </c>
      <c r="N61" s="54">
        <f t="shared" si="20"/>
        <v>316.97122609317432</v>
      </c>
      <c r="O61" s="54">
        <f t="shared" si="20"/>
        <v>293.49187601219842</v>
      </c>
      <c r="P61" s="54">
        <f t="shared" si="20"/>
        <v>271.75173704833185</v>
      </c>
      <c r="Q61" s="54">
        <f t="shared" si="20"/>
        <v>251.62197874845538</v>
      </c>
      <c r="R61" s="54">
        <f t="shared" si="20"/>
        <v>232.98331365597721</v>
      </c>
      <c r="S61" s="54">
        <f t="shared" si="20"/>
        <v>215.72529042220111</v>
      </c>
      <c r="T61" s="54">
        <f t="shared" si="20"/>
        <v>199.7456392798158</v>
      </c>
      <c r="U61" s="54">
        <f t="shared" si="20"/>
        <v>184.94966599982945</v>
      </c>
      <c r="V61" s="54">
        <f t="shared" si="20"/>
        <v>171.24969074058285</v>
      </c>
      <c r="W61" s="54">
        <f t="shared" si="20"/>
        <v>158.5645284635026</v>
      </c>
      <c r="X61" s="54">
        <f t="shared" si="20"/>
        <v>146.81900783657647</v>
      </c>
      <c r="Y61" s="62">
        <f t="shared" si="20"/>
        <v>135.94352577460785</v>
      </c>
      <c r="Z61" s="55">
        <f>SUM(E61:Y61)</f>
        <v>6221.0427730576594</v>
      </c>
      <c r="AA61" s="73">
        <f>SUM(Z61:Z64)</f>
        <v>5469.3138444992346</v>
      </c>
      <c r="AB61" s="77"/>
      <c r="AC61" s="80"/>
    </row>
    <row r="62" spans="2:29" x14ac:dyDescent="0.25">
      <c r="B62" s="68"/>
      <c r="C62" s="53" t="s">
        <v>24</v>
      </c>
      <c r="D62" s="53"/>
      <c r="E62" s="63">
        <f>E60*E16</f>
        <v>-751.72892855842474</v>
      </c>
      <c r="F62" s="55">
        <v>0</v>
      </c>
      <c r="G62" s="55">
        <f>G60*G56</f>
        <v>0</v>
      </c>
      <c r="H62" s="55">
        <f>H60*H56</f>
        <v>0</v>
      </c>
      <c r="I62" s="55">
        <f>I60*I56</f>
        <v>0</v>
      </c>
      <c r="J62" s="55">
        <f>J60*J56</f>
        <v>0</v>
      </c>
      <c r="K62" s="55">
        <f>K60*K56</f>
        <v>0</v>
      </c>
      <c r="L62" s="55">
        <v>0</v>
      </c>
      <c r="M62" s="55">
        <f>$E$48*M28*M29</f>
        <v>0</v>
      </c>
      <c r="N62" s="55">
        <f>N60*N56</f>
        <v>0</v>
      </c>
      <c r="O62" s="55">
        <f>O60*O56</f>
        <v>0</v>
      </c>
      <c r="P62" s="55">
        <f>P60*P56</f>
        <v>0</v>
      </c>
      <c r="Q62" s="55">
        <f>Q60*Q56</f>
        <v>0</v>
      </c>
      <c r="R62" s="55">
        <f>R60*R56</f>
        <v>0</v>
      </c>
      <c r="S62" s="55">
        <f>S60*S56</f>
        <v>0</v>
      </c>
      <c r="T62" s="55">
        <f>E60*T43*T44</f>
        <v>0</v>
      </c>
      <c r="U62" s="55">
        <f>U60*U56</f>
        <v>0</v>
      </c>
      <c r="V62" s="55">
        <f>V60*V56</f>
        <v>0</v>
      </c>
      <c r="W62" s="55">
        <f>W60*W56</f>
        <v>0</v>
      </c>
      <c r="X62" s="55">
        <f>X60*X56</f>
        <v>0</v>
      </c>
      <c r="Y62" s="64">
        <f>Y60*Y56</f>
        <v>0</v>
      </c>
      <c r="Z62" s="55">
        <f>SUM(E62:Y62)</f>
        <v>-751.72892855842474</v>
      </c>
      <c r="AA62" s="73"/>
      <c r="AB62" s="77"/>
      <c r="AC62" s="80"/>
    </row>
    <row r="63" spans="2:29" x14ac:dyDescent="0.25">
      <c r="B63" s="68"/>
      <c r="C63" s="53" t="s">
        <v>52</v>
      </c>
      <c r="D63" s="53"/>
      <c r="E63" s="61">
        <f>-$E$19*E58/100*E59</f>
        <v>0</v>
      </c>
      <c r="F63" s="54">
        <f>-$E$19*F58/100*F59</f>
        <v>0</v>
      </c>
      <c r="G63" s="54">
        <f>-$E$19*G58/100*G59</f>
        <v>0</v>
      </c>
      <c r="H63" s="54">
        <f>-$E$19*H58/100*H59</f>
        <v>0</v>
      </c>
      <c r="I63" s="54">
        <f>-$E$19*I58/100*I59</f>
        <v>0</v>
      </c>
      <c r="J63" s="54">
        <f>-$E$19*J58/100*J59</f>
        <v>0</v>
      </c>
      <c r="K63" s="54">
        <f>-$E$19*K58/100*K59</f>
        <v>0</v>
      </c>
      <c r="L63" s="54">
        <f>-$E$19*L58/100*L59</f>
        <v>0</v>
      </c>
      <c r="M63" s="54">
        <f>-$E$19*M58/100*M59</f>
        <v>0</v>
      </c>
      <c r="N63" s="54">
        <f>-$E$19*N58/100*N59</f>
        <v>0</v>
      </c>
      <c r="O63" s="54">
        <f>-$E$19*O58/100*O59</f>
        <v>0</v>
      </c>
      <c r="P63" s="54">
        <f>-$E$19*P58/100*P59</f>
        <v>0</v>
      </c>
      <c r="Q63" s="54">
        <f>-$E$19*Q58/100*Q59</f>
        <v>0</v>
      </c>
      <c r="R63" s="54">
        <f>-$E$19*R58/100*R59</f>
        <v>0</v>
      </c>
      <c r="S63" s="54">
        <f>-$E$19*S58/100*S59</f>
        <v>0</v>
      </c>
      <c r="T63" s="54">
        <f>-$E$19*T58/100*T59</f>
        <v>0</v>
      </c>
      <c r="U63" s="54">
        <f>-$E$19*U58/100*U59</f>
        <v>0</v>
      </c>
      <c r="V63" s="54">
        <f>-$E$19*V58/100*V59</f>
        <v>0</v>
      </c>
      <c r="W63" s="54">
        <f>-$E$19*W58/100*W59</f>
        <v>0</v>
      </c>
      <c r="X63" s="54">
        <f>-$E$19*X58/100*X59</f>
        <v>0</v>
      </c>
      <c r="Y63" s="62">
        <f>-$E$19*Y58/100*Y59</f>
        <v>0</v>
      </c>
      <c r="Z63" s="55">
        <f t="shared" ref="Z63:Z64" si="21">SUM(E63:Y63)</f>
        <v>0</v>
      </c>
      <c r="AA63" s="73"/>
      <c r="AB63" s="77"/>
      <c r="AC63" s="80"/>
    </row>
    <row r="64" spans="2:29" ht="16.5" thickBot="1" x14ac:dyDescent="0.3">
      <c r="B64" s="69"/>
      <c r="C64" s="56" t="s">
        <v>53</v>
      </c>
      <c r="D64" s="56"/>
      <c r="E64" s="65">
        <f>E59*E58/100*$E$21</f>
        <v>0</v>
      </c>
      <c r="F64" s="57">
        <f>F59*F58/100*$E$21</f>
        <v>0</v>
      </c>
      <c r="G64" s="57">
        <f>G59*G58/100*$E$21</f>
        <v>0</v>
      </c>
      <c r="H64" s="57">
        <f>H59*H58/100*$E$21</f>
        <v>0</v>
      </c>
      <c r="I64" s="57">
        <f>I59*I58/100*$E$21</f>
        <v>0</v>
      </c>
      <c r="J64" s="57">
        <f>J59*J58/100*$E$21</f>
        <v>0</v>
      </c>
      <c r="K64" s="57">
        <f>K59*K58/100*$E$21</f>
        <v>0</v>
      </c>
      <c r="L64" s="57">
        <f>L59*L58/100*$E$21</f>
        <v>0</v>
      </c>
      <c r="M64" s="57">
        <f>M59*M58/100*$E$21</f>
        <v>0</v>
      </c>
      <c r="N64" s="57">
        <f>N59*N58/100*$E$21</f>
        <v>0</v>
      </c>
      <c r="O64" s="57">
        <f>O59*O58/100*$E$21</f>
        <v>0</v>
      </c>
      <c r="P64" s="57">
        <f>P59*P58/100*$E$21</f>
        <v>0</v>
      </c>
      <c r="Q64" s="57">
        <f>Q59*Q58/100*$E$21</f>
        <v>0</v>
      </c>
      <c r="R64" s="57">
        <f>R59*R58/100*$E$21</f>
        <v>0</v>
      </c>
      <c r="S64" s="57">
        <f>S59*S58/100*$E$21</f>
        <v>0</v>
      </c>
      <c r="T64" s="57">
        <f>T59*T58/100*$E$21</f>
        <v>0</v>
      </c>
      <c r="U64" s="57">
        <f>U59*U58/100*$E$21</f>
        <v>0</v>
      </c>
      <c r="V64" s="57">
        <f>V59*V58/100*$E$21</f>
        <v>0</v>
      </c>
      <c r="W64" s="57">
        <f>W59*W58/100*$E$21</f>
        <v>0</v>
      </c>
      <c r="X64" s="57">
        <f>X59*X58/100*$E$21</f>
        <v>0</v>
      </c>
      <c r="Y64" s="66">
        <f>Y59*Y58*$E$21</f>
        <v>0</v>
      </c>
      <c r="Z64" s="58">
        <f t="shared" si="21"/>
        <v>0</v>
      </c>
      <c r="AA64" s="74"/>
      <c r="AB64" s="77"/>
      <c r="AC64" s="80"/>
    </row>
    <row r="65" spans="2:29" x14ac:dyDescent="0.25">
      <c r="B65" s="67" t="s">
        <v>50</v>
      </c>
      <c r="C65" s="156" t="s">
        <v>8</v>
      </c>
      <c r="D65" s="156"/>
      <c r="E65" s="157">
        <f>$D$86*($D$3/$D$87)^$D$88</f>
        <v>-2003.2214675054588</v>
      </c>
      <c r="F65" s="172">
        <v>0</v>
      </c>
      <c r="G65" s="172">
        <v>0</v>
      </c>
      <c r="H65" s="172">
        <v>0</v>
      </c>
      <c r="I65" s="172">
        <v>0</v>
      </c>
      <c r="J65" s="172">
        <v>0</v>
      </c>
      <c r="K65" s="172">
        <v>0</v>
      </c>
      <c r="L65" s="172">
        <v>0</v>
      </c>
      <c r="M65" s="172">
        <v>0</v>
      </c>
      <c r="N65" s="172">
        <v>0</v>
      </c>
      <c r="O65" s="172">
        <v>0</v>
      </c>
      <c r="P65" s="172">
        <v>0</v>
      </c>
      <c r="Q65" s="172">
        <v>0</v>
      </c>
      <c r="R65" s="172">
        <v>0</v>
      </c>
      <c r="S65" s="172">
        <v>0</v>
      </c>
      <c r="T65" s="172">
        <v>0</v>
      </c>
      <c r="U65" s="172">
        <v>0</v>
      </c>
      <c r="V65" s="172">
        <v>0</v>
      </c>
      <c r="W65" s="172">
        <v>0</v>
      </c>
      <c r="X65" s="172">
        <v>0</v>
      </c>
      <c r="Y65" s="173">
        <v>0</v>
      </c>
      <c r="Z65" s="158"/>
      <c r="AA65" s="159"/>
      <c r="AB65" s="77"/>
      <c r="AC65" s="80"/>
    </row>
    <row r="66" spans="2:29" x14ac:dyDescent="0.25">
      <c r="B66" s="68"/>
      <c r="C66" s="53" t="s">
        <v>56</v>
      </c>
      <c r="D66" s="53"/>
      <c r="E66" s="61">
        <v>0</v>
      </c>
      <c r="F66" s="54">
        <f>F54</f>
        <v>1173.3960975230971</v>
      </c>
      <c r="G66" s="54">
        <f t="shared" ref="G66:Y66" si="22">G54</f>
        <v>1086.4778680769418</v>
      </c>
      <c r="H66" s="54">
        <f t="shared" si="22"/>
        <v>1005.9980259971683</v>
      </c>
      <c r="I66" s="54">
        <f t="shared" si="22"/>
        <v>931.47965370108159</v>
      </c>
      <c r="J66" s="54">
        <f t="shared" si="22"/>
        <v>862.4811608343349</v>
      </c>
      <c r="K66" s="54">
        <f t="shared" si="22"/>
        <v>798.59366743919873</v>
      </c>
      <c r="L66" s="54">
        <f t="shared" si="22"/>
        <v>739.43858096222118</v>
      </c>
      <c r="M66" s="54">
        <f t="shared" si="22"/>
        <v>684.66535274279727</v>
      </c>
      <c r="N66" s="54">
        <f t="shared" si="22"/>
        <v>633.94940068777532</v>
      </c>
      <c r="O66" s="54">
        <f t="shared" si="22"/>
        <v>586.99018582201404</v>
      </c>
      <c r="P66" s="54">
        <f t="shared" si="22"/>
        <v>543.50943131667975</v>
      </c>
      <c r="Q66" s="54">
        <f t="shared" si="22"/>
        <v>503.24947344137001</v>
      </c>
      <c r="R66" s="54">
        <f t="shared" si="22"/>
        <v>465.97173466793521</v>
      </c>
      <c r="S66" s="54">
        <f t="shared" si="22"/>
        <v>431.45530987771775</v>
      </c>
      <c r="T66" s="54">
        <f t="shared" si="22"/>
        <v>399.49565729418305</v>
      </c>
      <c r="U66" s="54">
        <f t="shared" si="22"/>
        <v>369.90338638350283</v>
      </c>
      <c r="V66" s="54">
        <f t="shared" si="22"/>
        <v>342.50313554028043</v>
      </c>
      <c r="W66" s="54">
        <f t="shared" si="22"/>
        <v>317.13253290766698</v>
      </c>
      <c r="X66" s="54">
        <f t="shared" si="22"/>
        <v>293.64123417376572</v>
      </c>
      <c r="Y66" s="62">
        <f t="shared" si="22"/>
        <v>271.89003164237567</v>
      </c>
      <c r="Z66" s="55">
        <f>SUM(E66:Y66)</f>
        <v>12442.221921032105</v>
      </c>
      <c r="AA66" s="73">
        <f>SUM(Z66:Z69)</f>
        <v>10939.805820403011</v>
      </c>
      <c r="AB66" s="77"/>
      <c r="AC66" s="80"/>
    </row>
    <row r="67" spans="2:29" x14ac:dyDescent="0.25">
      <c r="B67" s="68"/>
      <c r="C67" s="53" t="s">
        <v>24</v>
      </c>
      <c r="D67" s="53"/>
      <c r="E67" s="61">
        <f>E65*E16</f>
        <v>-1502.4161006290942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f>$E$53*M28*M29</f>
        <v>0</v>
      </c>
      <c r="N67" s="54">
        <v>0</v>
      </c>
      <c r="O67" s="54">
        <v>0</v>
      </c>
      <c r="P67" s="54">
        <v>0</v>
      </c>
      <c r="Q67" s="54">
        <v>0</v>
      </c>
      <c r="R67" s="54">
        <v>0</v>
      </c>
      <c r="S67" s="54">
        <v>0</v>
      </c>
      <c r="T67" s="54">
        <f>E65*T43*T44</f>
        <v>0</v>
      </c>
      <c r="U67" s="54">
        <v>0</v>
      </c>
      <c r="V67" s="54">
        <v>0</v>
      </c>
      <c r="W67" s="54">
        <v>0</v>
      </c>
      <c r="X67" s="54">
        <v>0</v>
      </c>
      <c r="Y67" s="62">
        <v>0</v>
      </c>
      <c r="Z67" s="55">
        <f t="shared" ref="Z67:Z69" si="23">SUM(E67:Y67)</f>
        <v>-1502.4161006290942</v>
      </c>
      <c r="AA67" s="73"/>
      <c r="AB67" s="77"/>
      <c r="AC67" s="80"/>
    </row>
    <row r="68" spans="2:29" x14ac:dyDescent="0.25">
      <c r="B68" s="68"/>
      <c r="C68" s="53" t="s">
        <v>52</v>
      </c>
      <c r="D68" s="53"/>
      <c r="E68" s="63">
        <f>-$E$24*E58*E59/100</f>
        <v>0</v>
      </c>
      <c r="F68" s="55">
        <f>-$E$24*F58*F59/100</f>
        <v>0</v>
      </c>
      <c r="G68" s="55">
        <f>-$E$24*G58*G59/100</f>
        <v>0</v>
      </c>
      <c r="H68" s="55">
        <f>-$E$24*H58*H59/100</f>
        <v>0</v>
      </c>
      <c r="I68" s="55">
        <f>-$E$24*I58*I59/100</f>
        <v>0</v>
      </c>
      <c r="J68" s="55">
        <f>-$E$24*J58*J59/100</f>
        <v>0</v>
      </c>
      <c r="K68" s="55">
        <f>-$E$24*K58*K59/100</f>
        <v>0</v>
      </c>
      <c r="L68" s="55">
        <f>-$E$24*L58*L59/100</f>
        <v>0</v>
      </c>
      <c r="M68" s="55">
        <f>-$E$24*M58*M59/100</f>
        <v>0</v>
      </c>
      <c r="N68" s="55">
        <f>-$E$24*N58*N59/100</f>
        <v>0</v>
      </c>
      <c r="O68" s="55">
        <f>-$E$24*O58*O59/100</f>
        <v>0</v>
      </c>
      <c r="P68" s="55">
        <f>-$E$24*P58*P59/100</f>
        <v>0</v>
      </c>
      <c r="Q68" s="55">
        <f>-$E$24*Q58*Q59/100</f>
        <v>0</v>
      </c>
      <c r="R68" s="55">
        <f>-$E$24*R58*R59/100</f>
        <v>0</v>
      </c>
      <c r="S68" s="55">
        <f>-$E$24*S58*S59/100</f>
        <v>0</v>
      </c>
      <c r="T68" s="55">
        <f>-$E$24*T58*T59/100</f>
        <v>0</v>
      </c>
      <c r="U68" s="55">
        <f>-$E$24*U58*U59/100</f>
        <v>0</v>
      </c>
      <c r="V68" s="55">
        <f>-$E$24*V58*V59/100</f>
        <v>0</v>
      </c>
      <c r="W68" s="55">
        <f>-$E$24*W58*W59/100</f>
        <v>0</v>
      </c>
      <c r="X68" s="55">
        <f>-$E$24*X58*X59/100</f>
        <v>0</v>
      </c>
      <c r="Y68" s="64">
        <f>-$E$24*Y58*Y59/100</f>
        <v>0</v>
      </c>
      <c r="Z68" s="55">
        <f t="shared" si="23"/>
        <v>0</v>
      </c>
      <c r="AA68" s="73"/>
      <c r="AB68" s="77"/>
      <c r="AC68" s="80"/>
    </row>
    <row r="69" spans="2:29" ht="16.5" thickBot="1" x14ac:dyDescent="0.3">
      <c r="B69" s="69"/>
      <c r="C69" s="56" t="s">
        <v>53</v>
      </c>
      <c r="D69" s="56"/>
      <c r="E69" s="65">
        <f>$E$26*E58*E59/100</f>
        <v>0</v>
      </c>
      <c r="F69" s="57">
        <f>$E$26*F58*F59/100</f>
        <v>0</v>
      </c>
      <c r="G69" s="57">
        <f>$E$26*G58*G59/100</f>
        <v>0</v>
      </c>
      <c r="H69" s="57">
        <f>$E$26*H58*H59/100</f>
        <v>0</v>
      </c>
      <c r="I69" s="57">
        <f>$E$26*I58*I59/100</f>
        <v>0</v>
      </c>
      <c r="J69" s="57">
        <f>$E$26*J58*J59/100</f>
        <v>0</v>
      </c>
      <c r="K69" s="57">
        <f>$E$26*K58*K59/100</f>
        <v>0</v>
      </c>
      <c r="L69" s="57">
        <f>$E$26*L58*L59/100</f>
        <v>0</v>
      </c>
      <c r="M69" s="57">
        <f>$E$26*M58*M59/100</f>
        <v>0</v>
      </c>
      <c r="N69" s="57">
        <f>$E$26*N58*N59/100</f>
        <v>0</v>
      </c>
      <c r="O69" s="57">
        <f>$E$26*O58*O59/100</f>
        <v>0</v>
      </c>
      <c r="P69" s="57">
        <f>$E$26*P58*P59/100</f>
        <v>0</v>
      </c>
      <c r="Q69" s="57">
        <f>$E$26*Q58*Q59/100</f>
        <v>0</v>
      </c>
      <c r="R69" s="57">
        <f>$E$26*R58*R59/100</f>
        <v>0</v>
      </c>
      <c r="S69" s="57">
        <f>$E$26*S58*S59/100</f>
        <v>0</v>
      </c>
      <c r="T69" s="57">
        <f>$E$26*T58*T59/100</f>
        <v>0</v>
      </c>
      <c r="U69" s="57">
        <f>$E$26*U58*U59/100</f>
        <v>0</v>
      </c>
      <c r="V69" s="57">
        <f>$E$26*V58*V59/100</f>
        <v>0</v>
      </c>
      <c r="W69" s="57">
        <f>$E$26*W58*W59/100</f>
        <v>0</v>
      </c>
      <c r="X69" s="57">
        <f>$E$26*X58*X59/100</f>
        <v>0</v>
      </c>
      <c r="Y69" s="66">
        <f>$E$26*Y58*Y59/100</f>
        <v>0</v>
      </c>
      <c r="Z69" s="58">
        <f t="shared" si="23"/>
        <v>0</v>
      </c>
      <c r="AA69" s="74"/>
      <c r="AB69" s="78"/>
      <c r="AC69" s="81"/>
    </row>
    <row r="71" spans="2:29" ht="16.5" thickBot="1" x14ac:dyDescent="0.3">
      <c r="AB71" s="5" t="s">
        <v>65</v>
      </c>
    </row>
    <row r="72" spans="2:29" x14ac:dyDescent="0.25">
      <c r="B72" s="67" t="s">
        <v>49</v>
      </c>
      <c r="C72" s="156" t="s">
        <v>8</v>
      </c>
      <c r="D72" s="156"/>
      <c r="E72" s="157">
        <f>$D$86*($D$2/$D$87)^$D$88</f>
        <v>-1002.3052380778997</v>
      </c>
      <c r="F72" s="172">
        <v>0</v>
      </c>
      <c r="G72" s="172">
        <v>0</v>
      </c>
      <c r="H72" s="172">
        <v>0</v>
      </c>
      <c r="I72" s="172">
        <v>0</v>
      </c>
      <c r="J72" s="172">
        <v>0</v>
      </c>
      <c r="K72" s="172">
        <v>0</v>
      </c>
      <c r="L72" s="172">
        <v>0</v>
      </c>
      <c r="M72" s="172">
        <v>0</v>
      </c>
      <c r="N72" s="172">
        <v>0</v>
      </c>
      <c r="O72" s="172">
        <v>0</v>
      </c>
      <c r="P72" s="172">
        <v>0</v>
      </c>
      <c r="Q72" s="172">
        <v>0</v>
      </c>
      <c r="R72" s="172">
        <v>0</v>
      </c>
      <c r="S72" s="172">
        <v>0</v>
      </c>
      <c r="T72" s="172">
        <v>0</v>
      </c>
      <c r="U72" s="172">
        <v>0</v>
      </c>
      <c r="V72" s="172">
        <v>0</v>
      </c>
      <c r="W72" s="172">
        <v>0</v>
      </c>
      <c r="X72" s="172">
        <v>0</v>
      </c>
      <c r="Y72" s="173">
        <v>0</v>
      </c>
      <c r="Z72" s="158"/>
      <c r="AA72" s="159"/>
      <c r="AB72" s="76" t="s">
        <v>60</v>
      </c>
      <c r="AC72" s="79" t="s">
        <v>67</v>
      </c>
    </row>
    <row r="73" spans="2:29" x14ac:dyDescent="0.25">
      <c r="B73" s="68"/>
      <c r="C73" s="53" t="s">
        <v>56</v>
      </c>
      <c r="D73" s="53"/>
      <c r="E73" s="61">
        <v>0</v>
      </c>
      <c r="F73" s="54">
        <f>F61</f>
        <v>586.6916181659451</v>
      </c>
      <c r="G73" s="54">
        <f t="shared" ref="G73:Y73" si="24">G61</f>
        <v>543.23297978328253</v>
      </c>
      <c r="H73" s="54">
        <f t="shared" si="24"/>
        <v>502.99349979933567</v>
      </c>
      <c r="I73" s="54">
        <f t="shared" si="24"/>
        <v>465.73472203642189</v>
      </c>
      <c r="J73" s="54">
        <f t="shared" si="24"/>
        <v>431.23585373742765</v>
      </c>
      <c r="K73" s="54">
        <f t="shared" si="24"/>
        <v>399.29245716428477</v>
      </c>
      <c r="L73" s="54">
        <f t="shared" si="24"/>
        <v>369.71523811507853</v>
      </c>
      <c r="M73" s="54">
        <f t="shared" si="24"/>
        <v>342.32892418062823</v>
      </c>
      <c r="N73" s="54">
        <f t="shared" si="24"/>
        <v>316.97122609317432</v>
      </c>
      <c r="O73" s="54">
        <f t="shared" si="24"/>
        <v>293.49187601219842</v>
      </c>
      <c r="P73" s="54">
        <f t="shared" si="24"/>
        <v>271.75173704833185</v>
      </c>
      <c r="Q73" s="54">
        <f t="shared" si="24"/>
        <v>251.62197874845538</v>
      </c>
      <c r="R73" s="54">
        <f t="shared" si="24"/>
        <v>232.98331365597721</v>
      </c>
      <c r="S73" s="54">
        <f t="shared" si="24"/>
        <v>215.72529042220111</v>
      </c>
      <c r="T73" s="54">
        <f t="shared" si="24"/>
        <v>199.7456392798158</v>
      </c>
      <c r="U73" s="54">
        <f t="shared" si="24"/>
        <v>184.94966599982945</v>
      </c>
      <c r="V73" s="54">
        <f t="shared" si="24"/>
        <v>171.24969074058285</v>
      </c>
      <c r="W73" s="54">
        <f t="shared" si="24"/>
        <v>158.5645284635026</v>
      </c>
      <c r="X73" s="54">
        <f t="shared" si="24"/>
        <v>146.81900783657647</v>
      </c>
      <c r="Y73" s="62">
        <f t="shared" si="24"/>
        <v>135.94352577460785</v>
      </c>
      <c r="Z73" s="55">
        <f>SUM(E73:Y73)</f>
        <v>6221.0427730576594</v>
      </c>
      <c r="AA73" s="73">
        <f>SUM(Z73:Z76)</f>
        <v>5984.0664639467195</v>
      </c>
      <c r="AB73" s="77"/>
      <c r="AC73" s="80"/>
    </row>
    <row r="74" spans="2:29" x14ac:dyDescent="0.25">
      <c r="B74" s="68"/>
      <c r="C74" s="53" t="s">
        <v>24</v>
      </c>
      <c r="D74" s="53"/>
      <c r="E74" s="63">
        <v>0</v>
      </c>
      <c r="F74" s="55">
        <f>F72*F67</f>
        <v>0</v>
      </c>
      <c r="G74" s="55">
        <f>G72*G67</f>
        <v>0</v>
      </c>
      <c r="H74" s="55">
        <f>H72*H67</f>
        <v>0</v>
      </c>
      <c r="I74" s="55">
        <f>I72*I67</f>
        <v>0</v>
      </c>
      <c r="J74" s="55">
        <f>J72*J67</f>
        <v>0</v>
      </c>
      <c r="K74" s="55">
        <f>K72*K67</f>
        <v>0</v>
      </c>
      <c r="L74" s="55">
        <f>L72*L67</f>
        <v>0</v>
      </c>
      <c r="M74" s="55">
        <f>M72*M67</f>
        <v>0</v>
      </c>
      <c r="N74" s="55">
        <f>N72*N67</f>
        <v>0</v>
      </c>
      <c r="O74" s="55">
        <f>O72*O67</f>
        <v>0</v>
      </c>
      <c r="P74" s="55">
        <f>P72*P67</f>
        <v>0</v>
      </c>
      <c r="Q74" s="55">
        <f>Q72*Q67</f>
        <v>0</v>
      </c>
      <c r="R74" s="55">
        <f>R72*R67</f>
        <v>0</v>
      </c>
      <c r="S74" s="55">
        <f>S72*S67</f>
        <v>0</v>
      </c>
      <c r="T74" s="55">
        <f>T38</f>
        <v>-236.9763091109395</v>
      </c>
      <c r="U74" s="55">
        <f>U72*U67</f>
        <v>0</v>
      </c>
      <c r="V74" s="55">
        <f>V72*V67</f>
        <v>0</v>
      </c>
      <c r="W74" s="55">
        <f>W72*W67</f>
        <v>0</v>
      </c>
      <c r="X74" s="55">
        <f>X72*X67</f>
        <v>0</v>
      </c>
      <c r="Y74" s="64">
        <f>Y72*Y67</f>
        <v>0</v>
      </c>
      <c r="Z74" s="55">
        <f>SUM(E74:Y74)</f>
        <v>-236.9763091109395</v>
      </c>
      <c r="AA74" s="73"/>
      <c r="AB74" s="77"/>
      <c r="AC74" s="80"/>
    </row>
    <row r="75" spans="2:29" x14ac:dyDescent="0.25">
      <c r="B75" s="68"/>
      <c r="C75" s="53" t="s">
        <v>52</v>
      </c>
      <c r="D75" s="53"/>
      <c r="E75" s="61">
        <f>-$E$19*E68/100*E71</f>
        <v>0</v>
      </c>
      <c r="F75" s="54">
        <f>-$E$19*F68/100*F71</f>
        <v>0</v>
      </c>
      <c r="G75" s="54">
        <f>-$E$19*G68/100*G71</f>
        <v>0</v>
      </c>
      <c r="H75" s="54">
        <f>-$E$19*H68/100*H71</f>
        <v>0</v>
      </c>
      <c r="I75" s="54">
        <f>-$E$19*I68/100*I71</f>
        <v>0</v>
      </c>
      <c r="J75" s="54">
        <f>-$E$19*J68/100*J71</f>
        <v>0</v>
      </c>
      <c r="K75" s="54">
        <f>-$E$19*K68/100*K71</f>
        <v>0</v>
      </c>
      <c r="L75" s="54">
        <f>-$E$19*L68/100*L71</f>
        <v>0</v>
      </c>
      <c r="M75" s="54">
        <f>-$E$19*M68/100*M71</f>
        <v>0</v>
      </c>
      <c r="N75" s="54">
        <f>-$E$19*N68/100*N71</f>
        <v>0</v>
      </c>
      <c r="O75" s="54">
        <f>-$E$19*O68/100*O71</f>
        <v>0</v>
      </c>
      <c r="P75" s="54">
        <f>-$E$19*P68/100*P71</f>
        <v>0</v>
      </c>
      <c r="Q75" s="54">
        <f>-$E$19*Q68/100*Q71</f>
        <v>0</v>
      </c>
      <c r="R75" s="54">
        <f>-$E$19*R68/100*R71</f>
        <v>0</v>
      </c>
      <c r="S75" s="54">
        <f>-$E$19*S68/100*S71</f>
        <v>0</v>
      </c>
      <c r="T75" s="54">
        <f>-$E$19*T68/100*T71</f>
        <v>0</v>
      </c>
      <c r="U75" s="54">
        <f>-$E$19*U68/100*U71</f>
        <v>0</v>
      </c>
      <c r="V75" s="54">
        <f>-$E$19*V68/100*V71</f>
        <v>0</v>
      </c>
      <c r="W75" s="54">
        <f>-$E$19*W68/100*W71</f>
        <v>0</v>
      </c>
      <c r="X75" s="54">
        <f>-$E$19*X68/100*X71</f>
        <v>0</v>
      </c>
      <c r="Y75" s="62">
        <f>-$E$19*Y68/100*Y71</f>
        <v>0</v>
      </c>
      <c r="Z75" s="55">
        <f>SUM(E75:Y75)</f>
        <v>0</v>
      </c>
      <c r="AA75" s="73"/>
      <c r="AB75" s="77"/>
      <c r="AC75" s="80"/>
    </row>
    <row r="76" spans="2:29" ht="16.5" thickBot="1" x14ac:dyDescent="0.3">
      <c r="B76" s="69"/>
      <c r="C76" s="56" t="s">
        <v>53</v>
      </c>
      <c r="D76" s="56"/>
      <c r="E76" s="65">
        <f>E71*E68/100*$E$21</f>
        <v>0</v>
      </c>
      <c r="F76" s="57">
        <f>F71*F68/100*$E$21</f>
        <v>0</v>
      </c>
      <c r="G76" s="57">
        <f>G71*G68/100*$E$21</f>
        <v>0</v>
      </c>
      <c r="H76" s="57">
        <f>H71*H68/100*$E$21</f>
        <v>0</v>
      </c>
      <c r="I76" s="57">
        <f>I71*I68/100*$E$21</f>
        <v>0</v>
      </c>
      <c r="J76" s="57">
        <f>J71*J68/100*$E$21</f>
        <v>0</v>
      </c>
      <c r="K76" s="57">
        <f>K71*K68/100*$E$21</f>
        <v>0</v>
      </c>
      <c r="L76" s="57">
        <f>L71*L68/100*$E$21</f>
        <v>0</v>
      </c>
      <c r="M76" s="57">
        <f>M71*M68/100*$E$21</f>
        <v>0</v>
      </c>
      <c r="N76" s="57">
        <f>N71*N68/100*$E$21</f>
        <v>0</v>
      </c>
      <c r="O76" s="57">
        <f>O71*O68/100*$E$21</f>
        <v>0</v>
      </c>
      <c r="P76" s="57">
        <f>P71*P68/100*$E$21</f>
        <v>0</v>
      </c>
      <c r="Q76" s="57">
        <f>Q71*Q68/100*$E$21</f>
        <v>0</v>
      </c>
      <c r="R76" s="57">
        <f>R71*R68/100*$E$21</f>
        <v>0</v>
      </c>
      <c r="S76" s="57">
        <f>S71*S68/100*$E$21</f>
        <v>0</v>
      </c>
      <c r="T76" s="57">
        <f>T71*T68/100*$E$21</f>
        <v>0</v>
      </c>
      <c r="U76" s="57">
        <f>U71*U68/100*$E$21</f>
        <v>0</v>
      </c>
      <c r="V76" s="57">
        <f>V71*V68/100*$E$21</f>
        <v>0</v>
      </c>
      <c r="W76" s="57">
        <f>W71*W68/100*$E$21</f>
        <v>0</v>
      </c>
      <c r="X76" s="57">
        <f>X71*X68/100*$E$21</f>
        <v>0</v>
      </c>
      <c r="Y76" s="66">
        <f>Y71*Y68*$E$21</f>
        <v>0</v>
      </c>
      <c r="Z76" s="58">
        <f>SUM(E76:Y76)</f>
        <v>0</v>
      </c>
      <c r="AA76" s="74"/>
      <c r="AB76" s="77"/>
      <c r="AC76" s="80"/>
    </row>
    <row r="77" spans="2:29" x14ac:dyDescent="0.25">
      <c r="B77" s="67" t="s">
        <v>50</v>
      </c>
      <c r="C77" s="156" t="s">
        <v>8</v>
      </c>
      <c r="D77" s="156"/>
      <c r="E77" s="157">
        <f>$D$86*($D$3/$D$87)^$D$88</f>
        <v>-2003.2214675054588</v>
      </c>
      <c r="F77" s="172">
        <v>0</v>
      </c>
      <c r="G77" s="172">
        <v>0</v>
      </c>
      <c r="H77" s="172">
        <v>0</v>
      </c>
      <c r="I77" s="172">
        <v>0</v>
      </c>
      <c r="J77" s="172">
        <v>0</v>
      </c>
      <c r="K77" s="172">
        <v>0</v>
      </c>
      <c r="L77" s="172">
        <v>0</v>
      </c>
      <c r="M77" s="172">
        <v>0</v>
      </c>
      <c r="N77" s="172">
        <v>0</v>
      </c>
      <c r="O77" s="172">
        <v>0</v>
      </c>
      <c r="P77" s="172">
        <v>0</v>
      </c>
      <c r="Q77" s="172">
        <v>0</v>
      </c>
      <c r="R77" s="172">
        <v>0</v>
      </c>
      <c r="S77" s="172">
        <v>0</v>
      </c>
      <c r="T77" s="172">
        <v>0</v>
      </c>
      <c r="U77" s="172">
        <v>0</v>
      </c>
      <c r="V77" s="172">
        <v>0</v>
      </c>
      <c r="W77" s="172">
        <v>0</v>
      </c>
      <c r="X77" s="172">
        <v>0</v>
      </c>
      <c r="Y77" s="173">
        <v>0</v>
      </c>
      <c r="Z77" s="158"/>
      <c r="AA77" s="159"/>
      <c r="AB77" s="77"/>
      <c r="AC77" s="80"/>
    </row>
    <row r="78" spans="2:29" x14ac:dyDescent="0.25">
      <c r="B78" s="68"/>
      <c r="C78" s="53" t="s">
        <v>56</v>
      </c>
      <c r="D78" s="53"/>
      <c r="E78" s="61">
        <v>0</v>
      </c>
      <c r="F78" s="54">
        <f>F66</f>
        <v>1173.3960975230971</v>
      </c>
      <c r="G78" s="54">
        <f t="shared" ref="G78:Y78" si="25">G66</f>
        <v>1086.4778680769418</v>
      </c>
      <c r="H78" s="54">
        <f t="shared" si="25"/>
        <v>1005.9980259971683</v>
      </c>
      <c r="I78" s="54">
        <f t="shared" si="25"/>
        <v>931.47965370108159</v>
      </c>
      <c r="J78" s="54">
        <f t="shared" si="25"/>
        <v>862.4811608343349</v>
      </c>
      <c r="K78" s="54">
        <f t="shared" si="25"/>
        <v>798.59366743919873</v>
      </c>
      <c r="L78" s="54">
        <f t="shared" si="25"/>
        <v>739.43858096222118</v>
      </c>
      <c r="M78" s="54">
        <f t="shared" si="25"/>
        <v>684.66535274279727</v>
      </c>
      <c r="N78" s="54">
        <f t="shared" si="25"/>
        <v>633.94940068777532</v>
      </c>
      <c r="O78" s="54">
        <f t="shared" si="25"/>
        <v>586.99018582201404</v>
      </c>
      <c r="P78" s="54">
        <f t="shared" si="25"/>
        <v>543.50943131667975</v>
      </c>
      <c r="Q78" s="54">
        <f t="shared" si="25"/>
        <v>503.24947344137001</v>
      </c>
      <c r="R78" s="54">
        <f t="shared" si="25"/>
        <v>465.97173466793521</v>
      </c>
      <c r="S78" s="54">
        <f t="shared" si="25"/>
        <v>431.45530987771775</v>
      </c>
      <c r="T78" s="54">
        <f t="shared" si="25"/>
        <v>399.49565729418305</v>
      </c>
      <c r="U78" s="54">
        <f t="shared" si="25"/>
        <v>369.90338638350283</v>
      </c>
      <c r="V78" s="54">
        <f t="shared" si="25"/>
        <v>342.50313554028043</v>
      </c>
      <c r="W78" s="54">
        <f t="shared" si="25"/>
        <v>317.13253290766698</v>
      </c>
      <c r="X78" s="54">
        <f t="shared" si="25"/>
        <v>293.64123417376572</v>
      </c>
      <c r="Y78" s="62">
        <f t="shared" si="25"/>
        <v>271.89003164237567</v>
      </c>
      <c r="Z78" s="55">
        <f>SUM(E78:Y78)</f>
        <v>12442.221921032105</v>
      </c>
      <c r="AA78" s="73">
        <f>SUM(Z78:Z81)</f>
        <v>11968.597707901587</v>
      </c>
      <c r="AB78" s="77"/>
      <c r="AC78" s="80"/>
    </row>
    <row r="79" spans="2:29" x14ac:dyDescent="0.25">
      <c r="B79" s="68"/>
      <c r="C79" s="53" t="s">
        <v>24</v>
      </c>
      <c r="D79" s="53"/>
      <c r="E79" s="61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f>T43</f>
        <v>-473.62421313051971</v>
      </c>
      <c r="U79" s="54">
        <v>0</v>
      </c>
      <c r="V79" s="54">
        <v>0</v>
      </c>
      <c r="W79" s="54">
        <v>0</v>
      </c>
      <c r="X79" s="54">
        <v>0</v>
      </c>
      <c r="Y79" s="62">
        <v>0</v>
      </c>
      <c r="Z79" s="55">
        <f>SUM(E79:Y79)</f>
        <v>-473.62421313051971</v>
      </c>
      <c r="AA79" s="73"/>
      <c r="AB79" s="77"/>
      <c r="AC79" s="80"/>
    </row>
    <row r="80" spans="2:29" x14ac:dyDescent="0.25">
      <c r="B80" s="68"/>
      <c r="C80" s="53" t="s">
        <v>52</v>
      </c>
      <c r="D80" s="53"/>
      <c r="E80" s="63">
        <f>-$E$24*E68*E71/100</f>
        <v>0</v>
      </c>
      <c r="F80" s="55">
        <f>-$E$24*F68*F71/100</f>
        <v>0</v>
      </c>
      <c r="G80" s="55">
        <f>-$E$24*G68*G71/100</f>
        <v>0</v>
      </c>
      <c r="H80" s="55">
        <f>-$E$24*H68*H71/100</f>
        <v>0</v>
      </c>
      <c r="I80" s="55">
        <f>-$E$24*I68*I71/100</f>
        <v>0</v>
      </c>
      <c r="J80" s="55">
        <f>-$E$24*J68*J71/100</f>
        <v>0</v>
      </c>
      <c r="K80" s="55">
        <f>-$E$24*K68*K71/100</f>
        <v>0</v>
      </c>
      <c r="L80" s="55">
        <f>-$E$24*L68*L71/100</f>
        <v>0</v>
      </c>
      <c r="M80" s="55">
        <f>-$E$24*M68*M71/100</f>
        <v>0</v>
      </c>
      <c r="N80" s="55">
        <f>-$E$24*N68*N71/100</f>
        <v>0</v>
      </c>
      <c r="O80" s="55">
        <f>-$E$24*O68*O71/100</f>
        <v>0</v>
      </c>
      <c r="P80" s="55">
        <f>-$E$24*P68*P71/100</f>
        <v>0</v>
      </c>
      <c r="Q80" s="55">
        <f>-$E$24*Q68*Q71/100</f>
        <v>0</v>
      </c>
      <c r="R80" s="55">
        <f>-$E$24*R68*R71/100</f>
        <v>0</v>
      </c>
      <c r="S80" s="55">
        <f>-$E$24*S68*S71/100</f>
        <v>0</v>
      </c>
      <c r="T80" s="55">
        <f>-$E$24*T68*T71/100</f>
        <v>0</v>
      </c>
      <c r="U80" s="55">
        <f>-$E$24*U68*U71/100</f>
        <v>0</v>
      </c>
      <c r="V80" s="55">
        <f>-$E$24*V68*V71/100</f>
        <v>0</v>
      </c>
      <c r="W80" s="55">
        <f>-$E$24*W68*W71/100</f>
        <v>0</v>
      </c>
      <c r="X80" s="55">
        <f>-$E$24*X68*X71/100</f>
        <v>0</v>
      </c>
      <c r="Y80" s="64">
        <f>-$E$24*Y68*Y71/100</f>
        <v>0</v>
      </c>
      <c r="Z80" s="55">
        <f>SUM(E80:Y80)</f>
        <v>0</v>
      </c>
      <c r="AA80" s="73"/>
      <c r="AB80" s="77"/>
      <c r="AC80" s="80"/>
    </row>
    <row r="81" spans="2:29" ht="16.5" thickBot="1" x14ac:dyDescent="0.3">
      <c r="B81" s="69"/>
      <c r="C81" s="56" t="s">
        <v>53</v>
      </c>
      <c r="D81" s="56"/>
      <c r="E81" s="65">
        <f>$E$26*E68*E71/100</f>
        <v>0</v>
      </c>
      <c r="F81" s="57">
        <f>$E$26*F68*F71/100</f>
        <v>0</v>
      </c>
      <c r="G81" s="57">
        <f>$E$26*G68*G71/100</f>
        <v>0</v>
      </c>
      <c r="H81" s="57">
        <f>$E$26*H68*H71/100</f>
        <v>0</v>
      </c>
      <c r="I81" s="57">
        <f>$E$26*I68*I71/100</f>
        <v>0</v>
      </c>
      <c r="J81" s="57">
        <f>$E$26*J68*J71/100</f>
        <v>0</v>
      </c>
      <c r="K81" s="57">
        <f>$E$26*K68*K71/100</f>
        <v>0</v>
      </c>
      <c r="L81" s="57">
        <f>$E$26*L68*L71/100</f>
        <v>0</v>
      </c>
      <c r="M81" s="57">
        <f>$E$26*M68*M71/100</f>
        <v>0</v>
      </c>
      <c r="N81" s="57">
        <f>$E$26*N68*N71/100</f>
        <v>0</v>
      </c>
      <c r="O81" s="57">
        <f>$E$26*O68*O71/100</f>
        <v>0</v>
      </c>
      <c r="P81" s="57">
        <f>$E$26*P68*P71/100</f>
        <v>0</v>
      </c>
      <c r="Q81" s="57">
        <f>$E$26*Q68*Q71/100</f>
        <v>0</v>
      </c>
      <c r="R81" s="57">
        <f>$E$26*R68*R71/100</f>
        <v>0</v>
      </c>
      <c r="S81" s="57">
        <f>$E$26*S68*S71/100</f>
        <v>0</v>
      </c>
      <c r="T81" s="57">
        <f>$E$26*T68*T71/100</f>
        <v>0</v>
      </c>
      <c r="U81" s="57">
        <f>$E$26*U68*U71/100</f>
        <v>0</v>
      </c>
      <c r="V81" s="57">
        <f>$E$26*V68*V71/100</f>
        <v>0</v>
      </c>
      <c r="W81" s="57">
        <f>$E$26*W68*W71/100</f>
        <v>0</v>
      </c>
      <c r="X81" s="57">
        <f>$E$26*X68*X71/100</f>
        <v>0</v>
      </c>
      <c r="Y81" s="66">
        <f>$E$26*Y68*Y71/100</f>
        <v>0</v>
      </c>
      <c r="Z81" s="58">
        <f>SUM(E81:Y81)</f>
        <v>0</v>
      </c>
      <c r="AA81" s="74"/>
      <c r="AB81" s="78"/>
      <c r="AC81" s="81"/>
    </row>
    <row r="84" spans="2:29" x14ac:dyDescent="0.25">
      <c r="C84" s="28" t="s">
        <v>47</v>
      </c>
      <c r="D84" s="28"/>
      <c r="E84" s="28"/>
      <c r="F84" s="28"/>
      <c r="G84" s="28"/>
      <c r="H84" s="28"/>
      <c r="I84" s="28"/>
      <c r="J84" s="28"/>
      <c r="K84" s="28"/>
      <c r="L84" s="28"/>
    </row>
    <row r="85" spans="2:29" x14ac:dyDescent="0.25">
      <c r="C85" s="23" t="s">
        <v>8</v>
      </c>
      <c r="D85" s="24"/>
    </row>
    <row r="86" spans="2:29" x14ac:dyDescent="0.25">
      <c r="C86" s="17" t="s">
        <v>9</v>
      </c>
      <c r="D86" s="19">
        <v>-10000</v>
      </c>
    </row>
    <row r="87" spans="2:29" x14ac:dyDescent="0.25">
      <c r="C87" s="17" t="s">
        <v>10</v>
      </c>
      <c r="D87" s="18">
        <v>10</v>
      </c>
    </row>
    <row r="88" spans="2:29" ht="15.75" customHeight="1" x14ac:dyDescent="0.25">
      <c r="C88" s="17" t="s">
        <v>11</v>
      </c>
      <c r="D88" s="18">
        <v>0.999</v>
      </c>
    </row>
    <row r="89" spans="2:29" x14ac:dyDescent="0.25">
      <c r="C89" s="17" t="s">
        <v>12</v>
      </c>
      <c r="D89" s="18">
        <f>D2</f>
        <v>1</v>
      </c>
    </row>
    <row r="90" spans="2:29" x14ac:dyDescent="0.25">
      <c r="C90" s="17" t="s">
        <v>13</v>
      </c>
      <c r="D90" s="18" t="s">
        <v>20</v>
      </c>
    </row>
    <row r="91" spans="2:29" x14ac:dyDescent="0.25">
      <c r="C91" s="17" t="s">
        <v>15</v>
      </c>
      <c r="D91" s="18" t="s">
        <v>21</v>
      </c>
    </row>
    <row r="92" spans="2:29" x14ac:dyDescent="0.25">
      <c r="C92" s="17" t="s">
        <v>17</v>
      </c>
      <c r="D92" s="18" t="b">
        <v>1</v>
      </c>
    </row>
    <row r="93" spans="2:29" x14ac:dyDescent="0.25">
      <c r="C93" s="17" t="s">
        <v>18</v>
      </c>
      <c r="D93" s="18" t="s">
        <v>22</v>
      </c>
    </row>
    <row r="94" spans="2:29" x14ac:dyDescent="0.25">
      <c r="C94" s="17" t="s">
        <v>19</v>
      </c>
      <c r="D94" s="18" t="b">
        <v>0</v>
      </c>
    </row>
    <row r="95" spans="2:29" x14ac:dyDescent="0.25">
      <c r="C95" s="17" t="s">
        <v>42</v>
      </c>
      <c r="D95" s="18">
        <v>5</v>
      </c>
    </row>
    <row r="97" spans="3:4" ht="16.5" thickBot="1" x14ac:dyDescent="0.3">
      <c r="C97" s="25" t="s">
        <v>6</v>
      </c>
      <c r="D97" s="26"/>
    </row>
    <row r="98" spans="3:4" x14ac:dyDescent="0.25">
      <c r="C98" s="20" t="s">
        <v>9</v>
      </c>
      <c r="D98" s="21">
        <v>-100</v>
      </c>
    </row>
    <row r="99" spans="3:4" x14ac:dyDescent="0.25">
      <c r="C99" s="17" t="s">
        <v>10</v>
      </c>
      <c r="D99" s="18">
        <v>10</v>
      </c>
    </row>
    <row r="100" spans="3:4" x14ac:dyDescent="0.25">
      <c r="C100" s="17" t="s">
        <v>11</v>
      </c>
      <c r="D100" s="18">
        <v>0.999</v>
      </c>
    </row>
    <row r="101" spans="3:4" x14ac:dyDescent="0.25">
      <c r="C101" s="17" t="s">
        <v>12</v>
      </c>
      <c r="D101" s="18">
        <f>D89</f>
        <v>1</v>
      </c>
    </row>
    <row r="102" spans="3:4" x14ac:dyDescent="0.25">
      <c r="C102" s="17" t="s">
        <v>13</v>
      </c>
      <c r="D102" s="18" t="s">
        <v>14</v>
      </c>
    </row>
    <row r="103" spans="3:4" x14ac:dyDescent="0.25">
      <c r="C103" s="17" t="s">
        <v>15</v>
      </c>
      <c r="D103" s="18" t="s">
        <v>16</v>
      </c>
    </row>
    <row r="104" spans="3:4" x14ac:dyDescent="0.25">
      <c r="C104" s="17" t="s">
        <v>17</v>
      </c>
      <c r="D104" s="18" t="b">
        <v>0</v>
      </c>
    </row>
    <row r="105" spans="3:4" x14ac:dyDescent="0.25">
      <c r="C105" s="17" t="s">
        <v>18</v>
      </c>
      <c r="D105" s="18" t="s">
        <v>22</v>
      </c>
    </row>
    <row r="106" spans="3:4" x14ac:dyDescent="0.25">
      <c r="C106" s="17" t="s">
        <v>19</v>
      </c>
      <c r="D106" s="18" t="b">
        <v>0</v>
      </c>
    </row>
    <row r="108" spans="3:4" ht="16.5" thickBot="1" x14ac:dyDescent="0.3">
      <c r="C108" s="27" t="s">
        <v>7</v>
      </c>
      <c r="D108" s="27"/>
    </row>
    <row r="109" spans="3:4" x14ac:dyDescent="0.25">
      <c r="C109" s="20" t="s">
        <v>9</v>
      </c>
      <c r="D109" s="21">
        <v>-1</v>
      </c>
    </row>
    <row r="110" spans="3:4" x14ac:dyDescent="0.25">
      <c r="C110" s="17" t="s">
        <v>10</v>
      </c>
      <c r="D110" s="18">
        <v>1</v>
      </c>
    </row>
    <row r="111" spans="3:4" x14ac:dyDescent="0.25">
      <c r="C111" s="17" t="s">
        <v>11</v>
      </c>
      <c r="D111" s="18">
        <v>1</v>
      </c>
    </row>
    <row r="112" spans="3:4" x14ac:dyDescent="0.25">
      <c r="C112" s="17" t="s">
        <v>12</v>
      </c>
      <c r="D112" s="18">
        <v>1</v>
      </c>
    </row>
    <row r="113" spans="3:4" x14ac:dyDescent="0.25">
      <c r="C113" s="17" t="s">
        <v>13</v>
      </c>
      <c r="D113" s="18" t="s">
        <v>14</v>
      </c>
    </row>
    <row r="114" spans="3:4" x14ac:dyDescent="0.25">
      <c r="C114" s="17" t="s">
        <v>15</v>
      </c>
      <c r="D114" s="18" t="s">
        <v>21</v>
      </c>
    </row>
    <row r="115" spans="3:4" x14ac:dyDescent="0.25">
      <c r="C115" s="17" t="s">
        <v>17</v>
      </c>
      <c r="D115" s="18" t="b">
        <v>1</v>
      </c>
    </row>
    <row r="116" spans="3:4" x14ac:dyDescent="0.25">
      <c r="C116" s="17" t="s">
        <v>18</v>
      </c>
      <c r="D116" s="18" t="s">
        <v>22</v>
      </c>
    </row>
    <row r="117" spans="3:4" x14ac:dyDescent="0.25">
      <c r="C117" s="17" t="s">
        <v>19</v>
      </c>
      <c r="D117" s="18" t="b">
        <v>0</v>
      </c>
    </row>
    <row r="119" spans="3:4" ht="16.5" thickBot="1" x14ac:dyDescent="0.3">
      <c r="C119" s="25" t="s">
        <v>30</v>
      </c>
      <c r="D119" s="26"/>
    </row>
    <row r="120" spans="3:4" x14ac:dyDescent="0.25">
      <c r="C120" s="20" t="s">
        <v>9</v>
      </c>
      <c r="D120" s="21">
        <f>10 * -3.14</f>
        <v>-31.400000000000002</v>
      </c>
    </row>
    <row r="121" spans="3:4" x14ac:dyDescent="0.25">
      <c r="C121" s="17" t="s">
        <v>10</v>
      </c>
      <c r="D121" s="18" t="s">
        <v>21</v>
      </c>
    </row>
    <row r="122" spans="3:4" x14ac:dyDescent="0.25">
      <c r="C122" s="17" t="s">
        <v>11</v>
      </c>
      <c r="D122" s="18">
        <v>1</v>
      </c>
    </row>
    <row r="123" spans="3:4" x14ac:dyDescent="0.25">
      <c r="C123" s="17" t="s">
        <v>12</v>
      </c>
      <c r="D123" s="18">
        <v>-1</v>
      </c>
    </row>
    <row r="124" spans="3:4" x14ac:dyDescent="0.25">
      <c r="C124" s="17" t="s">
        <v>13</v>
      </c>
      <c r="D124" s="18" t="s">
        <v>14</v>
      </c>
    </row>
    <row r="125" spans="3:4" x14ac:dyDescent="0.25">
      <c r="C125" s="17" t="s">
        <v>15</v>
      </c>
      <c r="D125" s="18" t="s">
        <v>21</v>
      </c>
    </row>
    <row r="126" spans="3:4" x14ac:dyDescent="0.25">
      <c r="C126" s="17" t="s">
        <v>17</v>
      </c>
      <c r="D126" s="18" t="b">
        <v>0</v>
      </c>
    </row>
    <row r="127" spans="3:4" x14ac:dyDescent="0.25">
      <c r="C127" s="17" t="s">
        <v>18</v>
      </c>
      <c r="D127" s="18" t="s">
        <v>22</v>
      </c>
    </row>
    <row r="128" spans="3:4" x14ac:dyDescent="0.25">
      <c r="C128" s="17" t="s">
        <v>19</v>
      </c>
      <c r="D128" s="18" t="b">
        <v>0</v>
      </c>
    </row>
  </sheetData>
  <mergeCells count="132">
    <mergeCell ref="CO12:CP15"/>
    <mergeCell ref="BR13:BS13"/>
    <mergeCell ref="BR14:BS14"/>
    <mergeCell ref="BR15:BS15"/>
    <mergeCell ref="AJ35:AK35"/>
    <mergeCell ref="BR35:BS35"/>
    <mergeCell ref="AJ12:AK12"/>
    <mergeCell ref="BG12:BH15"/>
    <mergeCell ref="AJ13:AK13"/>
    <mergeCell ref="AJ14:AK14"/>
    <mergeCell ref="AJ15:AK15"/>
    <mergeCell ref="BR12:BS12"/>
    <mergeCell ref="BQ41:BQ45"/>
    <mergeCell ref="BR41:BS41"/>
    <mergeCell ref="BR42:BS42"/>
    <mergeCell ref="CP42:CP45"/>
    <mergeCell ref="BR43:BS43"/>
    <mergeCell ref="BR44:BS44"/>
    <mergeCell ref="BR45:BS45"/>
    <mergeCell ref="AJ28:BI33"/>
    <mergeCell ref="BR28:CQ33"/>
    <mergeCell ref="BQ36:BQ40"/>
    <mergeCell ref="BR36:BS36"/>
    <mergeCell ref="CQ36:CQ45"/>
    <mergeCell ref="BR37:BS37"/>
    <mergeCell ref="CP37:CP40"/>
    <mergeCell ref="BR38:BS38"/>
    <mergeCell ref="BR39:BS39"/>
    <mergeCell ref="BR40:BS40"/>
    <mergeCell ref="AJ40:AK40"/>
    <mergeCell ref="AI41:AI45"/>
    <mergeCell ref="AJ41:AK41"/>
    <mergeCell ref="AJ42:AK42"/>
    <mergeCell ref="BH42:BH45"/>
    <mergeCell ref="AJ43:AK43"/>
    <mergeCell ref="AJ44:AK44"/>
    <mergeCell ref="AJ45:AK45"/>
    <mergeCell ref="AC72:AC81"/>
    <mergeCell ref="C32:AB33"/>
    <mergeCell ref="AI36:AI40"/>
    <mergeCell ref="AJ36:AK36"/>
    <mergeCell ref="BI36:BI45"/>
    <mergeCell ref="AJ37:AK37"/>
    <mergeCell ref="BH37:BH40"/>
    <mergeCell ref="AJ38:AK38"/>
    <mergeCell ref="AJ39:AK39"/>
    <mergeCell ref="B72:B76"/>
    <mergeCell ref="C72:D72"/>
    <mergeCell ref="AB72:AB81"/>
    <mergeCell ref="C73:D73"/>
    <mergeCell ref="AA73:AA76"/>
    <mergeCell ref="C74:D74"/>
    <mergeCell ref="C75:D75"/>
    <mergeCell ref="C76:D76"/>
    <mergeCell ref="B77:B81"/>
    <mergeCell ref="C77:D77"/>
    <mergeCell ref="C78:D78"/>
    <mergeCell ref="AA78:AA81"/>
    <mergeCell ref="C79:D79"/>
    <mergeCell ref="C80:D80"/>
    <mergeCell ref="C81:D81"/>
    <mergeCell ref="AC60:AC69"/>
    <mergeCell ref="B65:B69"/>
    <mergeCell ref="C65:D65"/>
    <mergeCell ref="C66:D66"/>
    <mergeCell ref="AA66:AA69"/>
    <mergeCell ref="C67:D67"/>
    <mergeCell ref="C68:D68"/>
    <mergeCell ref="C69:D69"/>
    <mergeCell ref="C56:D56"/>
    <mergeCell ref="C57:D57"/>
    <mergeCell ref="B60:B64"/>
    <mergeCell ref="C60:D60"/>
    <mergeCell ref="AB60:AB69"/>
    <mergeCell ref="C61:D61"/>
    <mergeCell ref="AA61:AA64"/>
    <mergeCell ref="C62:D62"/>
    <mergeCell ref="C63:D63"/>
    <mergeCell ref="C64:D64"/>
    <mergeCell ref="B48:B52"/>
    <mergeCell ref="C48:D48"/>
    <mergeCell ref="AB48:AB57"/>
    <mergeCell ref="C49:D49"/>
    <mergeCell ref="AA49:AA52"/>
    <mergeCell ref="C50:D50"/>
    <mergeCell ref="C51:D51"/>
    <mergeCell ref="C52:D52"/>
    <mergeCell ref="B53:B57"/>
    <mergeCell ref="C53:D53"/>
    <mergeCell ref="B41:B45"/>
    <mergeCell ref="C41:D41"/>
    <mergeCell ref="C42:D42"/>
    <mergeCell ref="AA42:AA45"/>
    <mergeCell ref="C43:D43"/>
    <mergeCell ref="C44:D44"/>
    <mergeCell ref="C45:D45"/>
    <mergeCell ref="B36:B40"/>
    <mergeCell ref="C36:D36"/>
    <mergeCell ref="C37:D37"/>
    <mergeCell ref="AA37:AA40"/>
    <mergeCell ref="C38:D38"/>
    <mergeCell ref="C39:D39"/>
    <mergeCell ref="C40:D40"/>
    <mergeCell ref="C84:L84"/>
    <mergeCell ref="C85:D85"/>
    <mergeCell ref="C97:D97"/>
    <mergeCell ref="C108:D108"/>
    <mergeCell ref="C119:D119"/>
    <mergeCell ref="AB19:AB28"/>
    <mergeCell ref="AB36:AB45"/>
    <mergeCell ref="C54:D54"/>
    <mergeCell ref="AA54:AA57"/>
    <mergeCell ref="C55:D55"/>
    <mergeCell ref="C22:D22"/>
    <mergeCell ref="C23:D23"/>
    <mergeCell ref="B24:B28"/>
    <mergeCell ref="C24:D24"/>
    <mergeCell ref="C25:D25"/>
    <mergeCell ref="AA25:AA28"/>
    <mergeCell ref="C26:D26"/>
    <mergeCell ref="C27:D27"/>
    <mergeCell ref="C28:D28"/>
    <mergeCell ref="C15:D15"/>
    <mergeCell ref="Z15:AA18"/>
    <mergeCell ref="C16:D16"/>
    <mergeCell ref="C17:D17"/>
    <mergeCell ref="C18:D18"/>
    <mergeCell ref="B19:B23"/>
    <mergeCell ref="C19:D19"/>
    <mergeCell ref="C20:D20"/>
    <mergeCell ref="AA20:AA23"/>
    <mergeCell ref="C21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968A-4F7A-4DD6-8158-98849CC0C475}">
  <dimension ref="B1:CQ151"/>
  <sheetViews>
    <sheetView tabSelected="1" topLeftCell="A10" zoomScale="70" zoomScaleNormal="70" workbookViewId="0">
      <selection activeCell="L65" sqref="L65"/>
    </sheetView>
  </sheetViews>
  <sheetFormatPr defaultRowHeight="15.75" x14ac:dyDescent="0.25"/>
  <cols>
    <col min="1" max="1" width="11.75" bestFit="1" customWidth="1"/>
    <col min="2" max="2" width="8" customWidth="1"/>
    <col min="3" max="3" width="35.125" customWidth="1"/>
    <col min="4" max="4" width="13.625" bestFit="1" customWidth="1"/>
    <col min="5" max="5" width="12.625" customWidth="1"/>
    <col min="6" max="25" width="11.25" customWidth="1"/>
    <col min="26" max="26" width="12.625" bestFit="1" customWidth="1"/>
    <col min="27" max="27" width="15.625" bestFit="1" customWidth="1"/>
    <col min="28" max="28" width="17.125" bestFit="1" customWidth="1"/>
    <col min="29" max="29" width="21.25" customWidth="1"/>
    <col min="36" max="36" width="32.375" customWidth="1"/>
    <col min="37" max="37" width="10.125" bestFit="1" customWidth="1"/>
    <col min="38" max="58" width="12.875" customWidth="1"/>
    <col min="59" max="59" width="13.375" customWidth="1"/>
    <col min="60" max="60" width="16" bestFit="1" customWidth="1"/>
    <col min="61" max="61" width="18.125" bestFit="1" customWidth="1"/>
    <col min="70" max="70" width="26.625" customWidth="1"/>
    <col min="71" max="71" width="10.625" bestFit="1" customWidth="1"/>
    <col min="72" max="72" width="11.125" bestFit="1" customWidth="1"/>
    <col min="73" max="91" width="10.75" customWidth="1"/>
    <col min="92" max="94" width="11.625" bestFit="1" customWidth="1"/>
    <col min="95" max="95" width="18.125" bestFit="1" customWidth="1"/>
  </cols>
  <sheetData>
    <row r="1" spans="3:92" x14ac:dyDescent="0.25">
      <c r="C1" s="5" t="s">
        <v>0</v>
      </c>
      <c r="D1" t="s">
        <v>5</v>
      </c>
    </row>
    <row r="2" spans="3:92" x14ac:dyDescent="0.25">
      <c r="C2" s="5" t="s">
        <v>49</v>
      </c>
      <c r="D2">
        <v>1</v>
      </c>
    </row>
    <row r="3" spans="3:92" x14ac:dyDescent="0.25">
      <c r="C3" s="5" t="s">
        <v>50</v>
      </c>
      <c r="D3">
        <v>2</v>
      </c>
    </row>
    <row r="4" spans="3:92" x14ac:dyDescent="0.25">
      <c r="C4" s="5"/>
    </row>
    <row r="5" spans="3:92" x14ac:dyDescent="0.25">
      <c r="C5" s="5" t="s">
        <v>38</v>
      </c>
      <c r="D5">
        <v>2</v>
      </c>
    </row>
    <row r="6" spans="3:92" x14ac:dyDescent="0.25">
      <c r="C6" s="5" t="s">
        <v>39</v>
      </c>
      <c r="D6">
        <v>21</v>
      </c>
    </row>
    <row r="7" spans="3:92" x14ac:dyDescent="0.25">
      <c r="C7" s="5" t="s">
        <v>40</v>
      </c>
      <c r="D7">
        <v>20</v>
      </c>
    </row>
    <row r="8" spans="3:92" x14ac:dyDescent="0.25">
      <c r="C8" s="5" t="s">
        <v>35</v>
      </c>
      <c r="D8" s="22">
        <v>0.08</v>
      </c>
    </row>
    <row r="9" spans="3:92" x14ac:dyDescent="0.25">
      <c r="C9" s="5" t="s">
        <v>41</v>
      </c>
      <c r="D9">
        <v>0</v>
      </c>
    </row>
    <row r="10" spans="3:92" x14ac:dyDescent="0.25">
      <c r="C10" s="5" t="s">
        <v>44</v>
      </c>
      <c r="D10" s="22">
        <v>0.25</v>
      </c>
      <c r="E10" s="29"/>
    </row>
    <row r="12" spans="3:92" x14ac:dyDescent="0.25">
      <c r="C12" s="5" t="s">
        <v>58</v>
      </c>
      <c r="D12" s="99">
        <v>7</v>
      </c>
    </row>
    <row r="13" spans="3:92" x14ac:dyDescent="0.25">
      <c r="C13" s="5" t="s">
        <v>51</v>
      </c>
      <c r="D13">
        <v>20</v>
      </c>
    </row>
    <row r="14" spans="3:92" ht="16.5" thickBot="1" x14ac:dyDescent="0.3"/>
    <row r="15" spans="3:92" x14ac:dyDescent="0.25">
      <c r="C15" s="103" t="s">
        <v>77</v>
      </c>
      <c r="D15" s="104"/>
      <c r="E15" s="131">
        <v>0</v>
      </c>
      <c r="F15" s="105">
        <v>1</v>
      </c>
      <c r="G15" s="105">
        <v>2</v>
      </c>
      <c r="H15" s="105">
        <v>3</v>
      </c>
      <c r="I15" s="105">
        <v>4</v>
      </c>
      <c r="J15" s="105">
        <v>5</v>
      </c>
      <c r="K15" s="105">
        <v>6</v>
      </c>
      <c r="L15" s="105">
        <v>7</v>
      </c>
      <c r="M15" s="105">
        <v>8</v>
      </c>
      <c r="N15" s="105">
        <v>9</v>
      </c>
      <c r="O15" s="105">
        <v>10</v>
      </c>
      <c r="P15" s="105">
        <v>11</v>
      </c>
      <c r="Q15" s="105">
        <v>12</v>
      </c>
      <c r="R15" s="105">
        <v>13</v>
      </c>
      <c r="S15" s="105">
        <v>14</v>
      </c>
      <c r="T15" s="105">
        <v>15</v>
      </c>
      <c r="U15" s="105">
        <v>16</v>
      </c>
      <c r="V15" s="105">
        <v>17</v>
      </c>
      <c r="W15" s="105">
        <v>18</v>
      </c>
      <c r="X15" s="105">
        <v>19</v>
      </c>
      <c r="Y15" s="106">
        <v>20</v>
      </c>
      <c r="Z15" s="82" t="s">
        <v>57</v>
      </c>
      <c r="AA15" s="44"/>
      <c r="BR15" s="103" t="s">
        <v>77</v>
      </c>
      <c r="BS15" s="104"/>
      <c r="BT15" s="131">
        <v>0</v>
      </c>
      <c r="BU15" s="105">
        <v>1</v>
      </c>
      <c r="BV15" s="105">
        <v>2</v>
      </c>
      <c r="BW15" s="105">
        <v>3</v>
      </c>
      <c r="BX15" s="105">
        <v>4</v>
      </c>
      <c r="BY15" s="105">
        <v>5</v>
      </c>
      <c r="BZ15" s="105">
        <v>6</v>
      </c>
      <c r="CA15" s="105">
        <v>7</v>
      </c>
      <c r="CB15" s="105">
        <v>8</v>
      </c>
      <c r="CC15" s="105">
        <v>9</v>
      </c>
      <c r="CD15" s="105">
        <v>10</v>
      </c>
      <c r="CE15" s="105">
        <v>11</v>
      </c>
      <c r="CF15" s="105">
        <v>12</v>
      </c>
      <c r="CG15" s="105">
        <v>13</v>
      </c>
      <c r="CH15" s="105">
        <v>14</v>
      </c>
      <c r="CI15" s="105">
        <v>15</v>
      </c>
      <c r="CJ15" s="105">
        <v>16</v>
      </c>
      <c r="CK15" s="105">
        <v>17</v>
      </c>
      <c r="CL15" s="105">
        <v>18</v>
      </c>
      <c r="CM15" s="105">
        <v>19</v>
      </c>
      <c r="CN15" s="106">
        <v>20</v>
      </c>
    </row>
    <row r="16" spans="3:92" x14ac:dyDescent="0.25">
      <c r="C16" s="34" t="s">
        <v>54</v>
      </c>
      <c r="D16" s="71"/>
      <c r="E16" s="96">
        <f>1-$D$10</f>
        <v>0.75</v>
      </c>
      <c r="F16" s="35">
        <f t="shared" ref="F16:Y16" si="0">1-$D$10</f>
        <v>0.75</v>
      </c>
      <c r="G16" s="35">
        <f t="shared" si="0"/>
        <v>0.75</v>
      </c>
      <c r="H16" s="35">
        <f t="shared" si="0"/>
        <v>0.75</v>
      </c>
      <c r="I16" s="35">
        <f t="shared" si="0"/>
        <v>0.75</v>
      </c>
      <c r="J16" s="35">
        <f t="shared" si="0"/>
        <v>0.75</v>
      </c>
      <c r="K16" s="35">
        <f t="shared" si="0"/>
        <v>0.75</v>
      </c>
      <c r="L16" s="35">
        <f t="shared" si="0"/>
        <v>0.75</v>
      </c>
      <c r="M16" s="35">
        <f t="shared" si="0"/>
        <v>0.75</v>
      </c>
      <c r="N16" s="35">
        <f t="shared" si="0"/>
        <v>0.75</v>
      </c>
      <c r="O16" s="35">
        <f t="shared" si="0"/>
        <v>0.75</v>
      </c>
      <c r="P16" s="35">
        <f t="shared" si="0"/>
        <v>0.75</v>
      </c>
      <c r="Q16" s="35">
        <f t="shared" si="0"/>
        <v>0.75</v>
      </c>
      <c r="R16" s="35">
        <f t="shared" si="0"/>
        <v>0.75</v>
      </c>
      <c r="S16" s="35">
        <f t="shared" si="0"/>
        <v>0.75</v>
      </c>
      <c r="T16" s="35">
        <f t="shared" si="0"/>
        <v>0.75</v>
      </c>
      <c r="U16" s="35">
        <f t="shared" si="0"/>
        <v>0.75</v>
      </c>
      <c r="V16" s="35">
        <f t="shared" si="0"/>
        <v>0.75</v>
      </c>
      <c r="W16" s="35">
        <f t="shared" si="0"/>
        <v>0.75</v>
      </c>
      <c r="X16" s="35">
        <f t="shared" si="0"/>
        <v>0.75</v>
      </c>
      <c r="Y16" s="36">
        <f t="shared" si="0"/>
        <v>0.75</v>
      </c>
      <c r="Z16" s="130"/>
      <c r="AA16" s="45"/>
      <c r="BR16" s="34" t="s">
        <v>54</v>
      </c>
      <c r="BS16" s="71"/>
      <c r="BT16" s="96">
        <f>1-$D$10</f>
        <v>0.75</v>
      </c>
      <c r="BU16" s="35">
        <f t="shared" ref="BU16:CN16" si="1">1-$D$10</f>
        <v>0.75</v>
      </c>
      <c r="BV16" s="35">
        <f t="shared" si="1"/>
        <v>0.75</v>
      </c>
      <c r="BW16" s="35">
        <f t="shared" si="1"/>
        <v>0.75</v>
      </c>
      <c r="BX16" s="35">
        <f t="shared" si="1"/>
        <v>0.75</v>
      </c>
      <c r="BY16" s="35">
        <f t="shared" si="1"/>
        <v>0.75</v>
      </c>
      <c r="BZ16" s="35">
        <f t="shared" si="1"/>
        <v>0.75</v>
      </c>
      <c r="CA16" s="35">
        <f t="shared" si="1"/>
        <v>0.75</v>
      </c>
      <c r="CB16" s="35">
        <f t="shared" si="1"/>
        <v>0.75</v>
      </c>
      <c r="CC16" s="35">
        <f t="shared" si="1"/>
        <v>0.75</v>
      </c>
      <c r="CD16" s="35">
        <f t="shared" si="1"/>
        <v>0.75</v>
      </c>
      <c r="CE16" s="35">
        <f t="shared" si="1"/>
        <v>0.75</v>
      </c>
      <c r="CF16" s="35">
        <f t="shared" si="1"/>
        <v>0.75</v>
      </c>
      <c r="CG16" s="35">
        <f t="shared" si="1"/>
        <v>0.75</v>
      </c>
      <c r="CH16" s="35">
        <f t="shared" si="1"/>
        <v>0.75</v>
      </c>
      <c r="CI16" s="35">
        <f t="shared" si="1"/>
        <v>0.75</v>
      </c>
      <c r="CJ16" s="35">
        <f t="shared" si="1"/>
        <v>0.75</v>
      </c>
      <c r="CK16" s="35">
        <f t="shared" si="1"/>
        <v>0.75</v>
      </c>
      <c r="CL16" s="35">
        <f t="shared" si="1"/>
        <v>0.75</v>
      </c>
      <c r="CM16" s="35">
        <f t="shared" si="1"/>
        <v>0.75</v>
      </c>
      <c r="CN16" s="36">
        <f t="shared" si="1"/>
        <v>0.75</v>
      </c>
    </row>
    <row r="17" spans="2:92" ht="16.5" thickBot="1" x14ac:dyDescent="0.3">
      <c r="C17" s="34" t="s">
        <v>55</v>
      </c>
      <c r="D17" s="71"/>
      <c r="E17" s="97">
        <f>1/(1+$D$8)^E15</f>
        <v>1</v>
      </c>
      <c r="F17" s="37">
        <f t="shared" ref="F17:Y17" si="2">1/(1+$D$8)^F15</f>
        <v>0.92592592592592582</v>
      </c>
      <c r="G17" s="37">
        <f t="shared" si="2"/>
        <v>0.85733882030178321</v>
      </c>
      <c r="H17" s="37">
        <f t="shared" si="2"/>
        <v>0.79383224102016958</v>
      </c>
      <c r="I17" s="37">
        <f t="shared" si="2"/>
        <v>0.73502985279645328</v>
      </c>
      <c r="J17" s="37">
        <f t="shared" si="2"/>
        <v>0.68058319703375303</v>
      </c>
      <c r="K17" s="37">
        <f t="shared" si="2"/>
        <v>0.63016962688310452</v>
      </c>
      <c r="L17" s="37">
        <f t="shared" si="2"/>
        <v>0.58349039526213387</v>
      </c>
      <c r="M17" s="37">
        <f t="shared" si="2"/>
        <v>0.54026888450197574</v>
      </c>
      <c r="N17" s="37">
        <f t="shared" si="2"/>
        <v>0.50024896713145905</v>
      </c>
      <c r="O17" s="37">
        <f t="shared" si="2"/>
        <v>0.46319348808468425</v>
      </c>
      <c r="P17" s="37">
        <f t="shared" si="2"/>
        <v>0.42888285933767062</v>
      </c>
      <c r="Q17" s="37">
        <f t="shared" si="2"/>
        <v>0.39711375864599124</v>
      </c>
      <c r="R17" s="37">
        <f t="shared" si="2"/>
        <v>0.36769792467221413</v>
      </c>
      <c r="S17" s="37">
        <f t="shared" si="2"/>
        <v>0.34046104136316119</v>
      </c>
      <c r="T17" s="37">
        <f t="shared" si="2"/>
        <v>0.31524170496588994</v>
      </c>
      <c r="U17" s="37">
        <f t="shared" si="2"/>
        <v>0.29189046756100923</v>
      </c>
      <c r="V17" s="37">
        <f t="shared" si="2"/>
        <v>0.27026895144537894</v>
      </c>
      <c r="W17" s="37">
        <f t="shared" si="2"/>
        <v>0.25024902911609154</v>
      </c>
      <c r="X17" s="37">
        <f t="shared" si="2"/>
        <v>0.23171206399638106</v>
      </c>
      <c r="Y17" s="38">
        <f t="shared" si="2"/>
        <v>0.21454820740405653</v>
      </c>
      <c r="Z17" s="130"/>
      <c r="AA17" s="45"/>
      <c r="BR17" s="34" t="s">
        <v>55</v>
      </c>
      <c r="BS17" s="71"/>
      <c r="BT17" s="97">
        <f>1/(1+$D$8)^BT15</f>
        <v>1</v>
      </c>
      <c r="BU17" s="37">
        <f t="shared" ref="BU17:CN17" si="3">1/(1+$D$8)^BU15</f>
        <v>0.92592592592592582</v>
      </c>
      <c r="BV17" s="37">
        <f t="shared" si="3"/>
        <v>0.85733882030178321</v>
      </c>
      <c r="BW17" s="37">
        <f t="shared" si="3"/>
        <v>0.79383224102016958</v>
      </c>
      <c r="BX17" s="37">
        <f t="shared" si="3"/>
        <v>0.73502985279645328</v>
      </c>
      <c r="BY17" s="37">
        <f t="shared" si="3"/>
        <v>0.68058319703375303</v>
      </c>
      <c r="BZ17" s="37">
        <f t="shared" si="3"/>
        <v>0.63016962688310452</v>
      </c>
      <c r="CA17" s="37">
        <f t="shared" si="3"/>
        <v>0.58349039526213387</v>
      </c>
      <c r="CB17" s="37">
        <f t="shared" si="3"/>
        <v>0.54026888450197574</v>
      </c>
      <c r="CC17" s="37">
        <f t="shared" si="3"/>
        <v>0.50024896713145905</v>
      </c>
      <c r="CD17" s="37">
        <f t="shared" si="3"/>
        <v>0.46319348808468425</v>
      </c>
      <c r="CE17" s="37">
        <f t="shared" si="3"/>
        <v>0.42888285933767062</v>
      </c>
      <c r="CF17" s="37">
        <f t="shared" si="3"/>
        <v>0.39711375864599124</v>
      </c>
      <c r="CG17" s="37">
        <f t="shared" si="3"/>
        <v>0.36769792467221413</v>
      </c>
      <c r="CH17" s="37">
        <f t="shared" si="3"/>
        <v>0.34046104136316119</v>
      </c>
      <c r="CI17" s="37">
        <f t="shared" si="3"/>
        <v>0.31524170496588994</v>
      </c>
      <c r="CJ17" s="37">
        <f t="shared" si="3"/>
        <v>0.29189046756100923</v>
      </c>
      <c r="CK17" s="37">
        <f t="shared" si="3"/>
        <v>0.27026895144537894</v>
      </c>
      <c r="CL17" s="37">
        <f t="shared" si="3"/>
        <v>0.25024902911609154</v>
      </c>
      <c r="CM17" s="37">
        <f t="shared" si="3"/>
        <v>0.23171206399638106</v>
      </c>
      <c r="CN17" s="38">
        <f t="shared" si="3"/>
        <v>0.21454820740405653</v>
      </c>
    </row>
    <row r="18" spans="2:92" ht="16.5" thickBot="1" x14ac:dyDescent="0.3">
      <c r="C18" s="34" t="s">
        <v>81</v>
      </c>
      <c r="D18" s="71"/>
      <c r="E18" s="132">
        <v>0</v>
      </c>
      <c r="F18" s="48">
        <v>14.29</v>
      </c>
      <c r="G18" s="48">
        <v>24.49</v>
      </c>
      <c r="H18" s="48">
        <v>17.489999999999998</v>
      </c>
      <c r="I18" s="48">
        <v>12.49</v>
      </c>
      <c r="J18" s="48">
        <v>8.93</v>
      </c>
      <c r="K18" s="48">
        <v>8.92</v>
      </c>
      <c r="L18" s="48">
        <v>8.93</v>
      </c>
      <c r="M18" s="48">
        <v>4.46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9">
        <v>0</v>
      </c>
      <c r="Z18" s="130"/>
      <c r="AA18" s="45"/>
      <c r="BQ18" s="196">
        <v>7</v>
      </c>
      <c r="BR18" s="34" t="s">
        <v>81</v>
      </c>
      <c r="BS18" s="71"/>
      <c r="BT18" s="132">
        <v>0</v>
      </c>
      <c r="BU18" s="48">
        <v>14.29</v>
      </c>
      <c r="BV18" s="48">
        <v>24.49</v>
      </c>
      <c r="BW18" s="48">
        <v>17.489999999999998</v>
      </c>
      <c r="BX18" s="48">
        <v>12.49</v>
      </c>
      <c r="BY18" s="48">
        <v>8.93</v>
      </c>
      <c r="BZ18" s="48">
        <v>8.92</v>
      </c>
      <c r="CA18" s="48">
        <v>8.93</v>
      </c>
      <c r="CB18" s="48">
        <v>4.46</v>
      </c>
      <c r="CC18" s="48">
        <v>0</v>
      </c>
      <c r="CD18" s="48">
        <v>0</v>
      </c>
      <c r="CE18" s="48">
        <v>0</v>
      </c>
      <c r="CF18" s="48">
        <v>0</v>
      </c>
      <c r="CG18" s="48">
        <v>0</v>
      </c>
      <c r="CH18" s="48">
        <v>0</v>
      </c>
      <c r="CI18" s="48">
        <v>0</v>
      </c>
      <c r="CJ18" s="48">
        <v>0</v>
      </c>
      <c r="CK18" s="48">
        <v>0</v>
      </c>
      <c r="CL18" s="48">
        <v>0</v>
      </c>
      <c r="CM18" s="48">
        <v>0</v>
      </c>
      <c r="CN18" s="49">
        <v>0</v>
      </c>
    </row>
    <row r="19" spans="2:92" ht="16.5" thickBot="1" x14ac:dyDescent="0.3">
      <c r="C19" s="39" t="s">
        <v>78</v>
      </c>
      <c r="D19" s="72"/>
      <c r="E19" s="98">
        <f>E18/100</f>
        <v>0</v>
      </c>
      <c r="F19" s="40">
        <f>F18/100</f>
        <v>0.1429</v>
      </c>
      <c r="G19" s="40">
        <f t="shared" ref="G19:Y19" si="4">G18/100</f>
        <v>0.24489999999999998</v>
      </c>
      <c r="H19" s="40">
        <f t="shared" si="4"/>
        <v>0.17489999999999997</v>
      </c>
      <c r="I19" s="40">
        <f t="shared" si="4"/>
        <v>0.1249</v>
      </c>
      <c r="J19" s="40">
        <f t="shared" si="4"/>
        <v>8.929999999999999E-2</v>
      </c>
      <c r="K19" s="40">
        <f t="shared" si="4"/>
        <v>8.9200000000000002E-2</v>
      </c>
      <c r="L19" s="40">
        <f t="shared" si="4"/>
        <v>8.929999999999999E-2</v>
      </c>
      <c r="M19" s="40">
        <f t="shared" si="4"/>
        <v>4.4600000000000001E-2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0">
        <f t="shared" si="4"/>
        <v>0</v>
      </c>
      <c r="U19" s="40">
        <f t="shared" si="4"/>
        <v>0</v>
      </c>
      <c r="V19" s="40">
        <f t="shared" si="4"/>
        <v>0</v>
      </c>
      <c r="W19" s="40">
        <f t="shared" si="4"/>
        <v>0</v>
      </c>
      <c r="X19" s="40">
        <f t="shared" si="4"/>
        <v>0</v>
      </c>
      <c r="Y19" s="41">
        <f t="shared" si="4"/>
        <v>0</v>
      </c>
      <c r="Z19" s="100"/>
      <c r="AA19" s="75"/>
      <c r="AB19" s="184" t="s">
        <v>61</v>
      </c>
      <c r="BQ19" s="197"/>
      <c r="BR19" s="39" t="s">
        <v>87</v>
      </c>
      <c r="BS19" s="72"/>
      <c r="BT19" s="98">
        <f>BT18/100</f>
        <v>0</v>
      </c>
      <c r="BU19" s="40">
        <f>BU18/100</f>
        <v>0.1429</v>
      </c>
      <c r="BV19" s="40">
        <f t="shared" ref="BV19" si="5">BV18/100</f>
        <v>0.24489999999999998</v>
      </c>
      <c r="BW19" s="40">
        <f t="shared" ref="BW19" si="6">BW18/100</f>
        <v>0.17489999999999997</v>
      </c>
      <c r="BX19" s="40">
        <f t="shared" ref="BX19" si="7">BX18/100</f>
        <v>0.1249</v>
      </c>
      <c r="BY19" s="40">
        <f t="shared" ref="BY19" si="8">BY18/100</f>
        <v>8.929999999999999E-2</v>
      </c>
      <c r="BZ19" s="40">
        <f t="shared" ref="BZ19" si="9">BZ18/100</f>
        <v>8.9200000000000002E-2</v>
      </c>
      <c r="CA19" s="40">
        <f t="shared" ref="CA19" si="10">CA18/100</f>
        <v>8.929999999999999E-2</v>
      </c>
      <c r="CB19" s="40">
        <f t="shared" ref="CB19" si="11">CB18/100</f>
        <v>4.4600000000000001E-2</v>
      </c>
      <c r="CC19" s="40">
        <f t="shared" ref="CC19" si="12">CC18/100</f>
        <v>0</v>
      </c>
      <c r="CD19" s="40">
        <f t="shared" ref="CD19" si="13">CD18/100</f>
        <v>0</v>
      </c>
      <c r="CE19" s="40">
        <f t="shared" ref="CE19" si="14">CE18/100</f>
        <v>0</v>
      </c>
      <c r="CF19" s="40">
        <f t="shared" ref="CF19" si="15">CF18/100</f>
        <v>0</v>
      </c>
      <c r="CG19" s="40">
        <f t="shared" ref="CG19" si="16">CG18/100</f>
        <v>0</v>
      </c>
      <c r="CH19" s="40">
        <f t="shared" ref="CH19" si="17">CH18/100</f>
        <v>0</v>
      </c>
      <c r="CI19" s="40">
        <f t="shared" ref="CI19" si="18">CI18/100</f>
        <v>0</v>
      </c>
      <c r="CJ19" s="40">
        <f t="shared" ref="CJ19" si="19">CJ18/100</f>
        <v>0</v>
      </c>
      <c r="CK19" s="40">
        <f t="shared" ref="CK19" si="20">CK18/100</f>
        <v>0</v>
      </c>
      <c r="CL19" s="40">
        <f t="shared" ref="CL19" si="21">CL18/100</f>
        <v>0</v>
      </c>
      <c r="CM19" s="40">
        <f t="shared" ref="CM19" si="22">CM18/100</f>
        <v>0</v>
      </c>
      <c r="CN19" s="41">
        <f t="shared" ref="CN19" si="23">CN18/100</f>
        <v>0</v>
      </c>
    </row>
    <row r="20" spans="2:92" x14ac:dyDescent="0.25">
      <c r="B20" s="67" t="s">
        <v>49</v>
      </c>
      <c r="C20" s="31" t="s">
        <v>8</v>
      </c>
      <c r="D20" s="31"/>
      <c r="E20" s="59">
        <f>$D$109*($D$2/$D$110)^$D$111</f>
        <v>-1002.3052380778997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60">
        <v>0</v>
      </c>
      <c r="Z20" s="51"/>
      <c r="AA20" s="52"/>
      <c r="AB20" s="76" t="s">
        <v>60</v>
      </c>
      <c r="BQ20" s="196">
        <v>15</v>
      </c>
      <c r="BR20" s="34" t="s">
        <v>86</v>
      </c>
      <c r="BS20" s="71"/>
      <c r="BT20" s="132">
        <v>0</v>
      </c>
      <c r="BU20" s="48">
        <v>5</v>
      </c>
      <c r="BV20" s="48">
        <v>9.5</v>
      </c>
      <c r="BW20" s="48">
        <v>8.5500000000000007</v>
      </c>
      <c r="BX20" s="48">
        <v>7.7</v>
      </c>
      <c r="BY20" s="48">
        <v>6.93</v>
      </c>
      <c r="BZ20" s="48">
        <v>6.23</v>
      </c>
      <c r="CA20" s="48">
        <v>5.9</v>
      </c>
      <c r="CB20" s="48">
        <v>5.9</v>
      </c>
      <c r="CC20" s="48">
        <v>5.91</v>
      </c>
      <c r="CD20" s="48">
        <v>5.9</v>
      </c>
      <c r="CE20" s="48">
        <v>5.91</v>
      </c>
      <c r="CF20" s="48">
        <v>5.9</v>
      </c>
      <c r="CG20" s="48">
        <v>5.91</v>
      </c>
      <c r="CH20" s="48">
        <v>5.9</v>
      </c>
      <c r="CI20" s="48">
        <v>5.91</v>
      </c>
      <c r="CJ20" s="48">
        <v>2.95</v>
      </c>
      <c r="CK20" s="48">
        <v>0</v>
      </c>
      <c r="CL20" s="48">
        <v>0</v>
      </c>
      <c r="CM20" s="48">
        <v>0</v>
      </c>
      <c r="CN20" s="49">
        <v>0</v>
      </c>
    </row>
    <row r="21" spans="2:92" ht="16.5" thickBot="1" x14ac:dyDescent="0.3">
      <c r="B21" s="68"/>
      <c r="C21" s="53" t="s">
        <v>56</v>
      </c>
      <c r="D21" s="53"/>
      <c r="E21" s="61">
        <v>0</v>
      </c>
      <c r="F21" s="54">
        <f>SweepValue1!$X$29*F17</f>
        <v>586.6916181659451</v>
      </c>
      <c r="G21" s="54">
        <f>SweepValue1!$X$29*G17</f>
        <v>543.23297978328253</v>
      </c>
      <c r="H21" s="54">
        <f>SweepValue1!$X$29*H17</f>
        <v>502.99349979933567</v>
      </c>
      <c r="I21" s="54">
        <f>SweepValue1!$X$29*I17</f>
        <v>465.73472203642189</v>
      </c>
      <c r="J21" s="54">
        <f>SweepValue1!$X$29*J17</f>
        <v>431.23585373742765</v>
      </c>
      <c r="K21" s="54">
        <f>SweepValue1!$X$29*K17</f>
        <v>399.29245716428477</v>
      </c>
      <c r="L21" s="54">
        <f>SweepValue1!$X$29*L17</f>
        <v>369.71523811507853</v>
      </c>
      <c r="M21" s="54">
        <f>SweepValue1!$X$29*M17</f>
        <v>342.32892418062823</v>
      </c>
      <c r="N21" s="54">
        <f>SweepValue1!$X$29*N17</f>
        <v>316.97122609317432</v>
      </c>
      <c r="O21" s="54">
        <f>SweepValue1!$X$29*O17</f>
        <v>293.49187601219842</v>
      </c>
      <c r="P21" s="54">
        <f>SweepValue1!$X$29*P17</f>
        <v>271.75173704833185</v>
      </c>
      <c r="Q21" s="54">
        <f>SweepValue1!$X$29*Q17</f>
        <v>251.62197874845538</v>
      </c>
      <c r="R21" s="54">
        <f>SweepValue1!$X$29*R17</f>
        <v>232.98331365597721</v>
      </c>
      <c r="S21" s="54">
        <f>SweepValue1!$X$29*S17</f>
        <v>215.72529042220111</v>
      </c>
      <c r="T21" s="54">
        <f>SweepValue1!$X$29*T17</f>
        <v>199.7456392798158</v>
      </c>
      <c r="U21" s="54">
        <f>SweepValue1!$X$29*U17</f>
        <v>184.94966599982945</v>
      </c>
      <c r="V21" s="54">
        <f>SweepValue1!$X$29*V17</f>
        <v>171.24969074058285</v>
      </c>
      <c r="W21" s="54">
        <f>SweepValue1!$X$29*W17</f>
        <v>158.5645284635026</v>
      </c>
      <c r="X21" s="54">
        <f>SweepValue1!$X$29*X17</f>
        <v>146.81900783657647</v>
      </c>
      <c r="Y21" s="62">
        <f>SweepValue1!$X$29*Y17</f>
        <v>135.94352577460785</v>
      </c>
      <c r="Z21" s="55">
        <f>SUM(E21:Y21)</f>
        <v>6221.0427730576594</v>
      </c>
      <c r="AA21" s="73">
        <f>SUM(Z21:Z24)</f>
        <v>5661.2834809696769</v>
      </c>
      <c r="AB21" s="77"/>
      <c r="BQ21" s="197"/>
      <c r="BR21" s="39" t="s">
        <v>88</v>
      </c>
      <c r="BS21" s="72"/>
      <c r="BT21" s="98">
        <f>BT20/100</f>
        <v>0</v>
      </c>
      <c r="BU21" s="40">
        <f>BU20/100</f>
        <v>0.05</v>
      </c>
      <c r="BV21" s="40">
        <f t="shared" ref="BV21" si="24">BV20/100</f>
        <v>9.5000000000000001E-2</v>
      </c>
      <c r="BW21" s="40">
        <f t="shared" ref="BW21" si="25">BW20/100</f>
        <v>8.5500000000000007E-2</v>
      </c>
      <c r="BX21" s="40">
        <f t="shared" ref="BX21" si="26">BX20/100</f>
        <v>7.6999999999999999E-2</v>
      </c>
      <c r="BY21" s="40">
        <f t="shared" ref="BY21" si="27">BY20/100</f>
        <v>6.93E-2</v>
      </c>
      <c r="BZ21" s="40">
        <f t="shared" ref="BZ21" si="28">BZ20/100</f>
        <v>6.2300000000000001E-2</v>
      </c>
      <c r="CA21" s="40">
        <f t="shared" ref="CA21" si="29">CA20/100</f>
        <v>5.9000000000000004E-2</v>
      </c>
      <c r="CB21" s="40">
        <f t="shared" ref="CB21" si="30">CB20/100</f>
        <v>5.9000000000000004E-2</v>
      </c>
      <c r="CC21" s="40">
        <f t="shared" ref="CC21" si="31">CC20/100</f>
        <v>5.91E-2</v>
      </c>
      <c r="CD21" s="40">
        <f t="shared" ref="CD21" si="32">CD20/100</f>
        <v>5.9000000000000004E-2</v>
      </c>
      <c r="CE21" s="40">
        <f t="shared" ref="CE21" si="33">CE20/100</f>
        <v>5.91E-2</v>
      </c>
      <c r="CF21" s="40">
        <f t="shared" ref="CF21" si="34">CF20/100</f>
        <v>5.9000000000000004E-2</v>
      </c>
      <c r="CG21" s="40">
        <f t="shared" ref="CG21" si="35">CG20/100</f>
        <v>5.91E-2</v>
      </c>
      <c r="CH21" s="40">
        <f t="shared" ref="CH21" si="36">CH20/100</f>
        <v>5.9000000000000004E-2</v>
      </c>
      <c r="CI21" s="40">
        <f t="shared" ref="CI21" si="37">CI20/100</f>
        <v>5.91E-2</v>
      </c>
      <c r="CJ21" s="40">
        <f t="shared" ref="CJ21" si="38">CJ20/100</f>
        <v>2.9500000000000002E-2</v>
      </c>
      <c r="CK21" s="40">
        <f t="shared" ref="CK21" si="39">CK20/100</f>
        <v>0</v>
      </c>
      <c r="CL21" s="40">
        <f t="shared" ref="CL21" si="40">CL20/100</f>
        <v>0</v>
      </c>
      <c r="CM21" s="40">
        <f t="shared" ref="CM21" si="41">CM20/100</f>
        <v>0</v>
      </c>
      <c r="CN21" s="41">
        <f t="shared" ref="CN21" si="42">CN20/100</f>
        <v>0</v>
      </c>
    </row>
    <row r="22" spans="2:92" x14ac:dyDescent="0.25">
      <c r="B22" s="68"/>
      <c r="C22" s="53" t="s">
        <v>24</v>
      </c>
      <c r="D22" s="53"/>
      <c r="E22" s="63">
        <f>E20*E16</f>
        <v>-751.72892855842474</v>
      </c>
      <c r="F22" s="55">
        <f t="shared" ref="F22:Y22" si="43">F20*F16</f>
        <v>0</v>
      </c>
      <c r="G22" s="55">
        <f t="shared" si="43"/>
        <v>0</v>
      </c>
      <c r="H22" s="55">
        <f t="shared" si="43"/>
        <v>0</v>
      </c>
      <c r="I22" s="55">
        <f t="shared" si="43"/>
        <v>0</v>
      </c>
      <c r="J22" s="55">
        <f t="shared" si="43"/>
        <v>0</v>
      </c>
      <c r="K22" s="55">
        <f t="shared" si="43"/>
        <v>0</v>
      </c>
      <c r="L22" s="55">
        <f t="shared" si="43"/>
        <v>0</v>
      </c>
      <c r="M22" s="55">
        <f t="shared" si="43"/>
        <v>0</v>
      </c>
      <c r="N22" s="55">
        <f t="shared" si="43"/>
        <v>0</v>
      </c>
      <c r="O22" s="55">
        <f t="shared" si="43"/>
        <v>0</v>
      </c>
      <c r="P22" s="55">
        <f t="shared" si="43"/>
        <v>0</v>
      </c>
      <c r="Q22" s="55">
        <f t="shared" si="43"/>
        <v>0</v>
      </c>
      <c r="R22" s="55">
        <f t="shared" si="43"/>
        <v>0</v>
      </c>
      <c r="S22" s="55">
        <f t="shared" si="43"/>
        <v>0</v>
      </c>
      <c r="T22" s="55">
        <f t="shared" si="43"/>
        <v>0</v>
      </c>
      <c r="U22" s="55">
        <f t="shared" si="43"/>
        <v>0</v>
      </c>
      <c r="V22" s="55">
        <f t="shared" si="43"/>
        <v>0</v>
      </c>
      <c r="W22" s="55">
        <f t="shared" si="43"/>
        <v>0</v>
      </c>
      <c r="X22" s="55">
        <f t="shared" si="43"/>
        <v>0</v>
      </c>
      <c r="Y22" s="64">
        <f t="shared" si="43"/>
        <v>0</v>
      </c>
      <c r="Z22" s="55">
        <f>SUM(E22:Y22)</f>
        <v>-751.72892855842474</v>
      </c>
      <c r="AA22" s="73"/>
      <c r="AB22" s="77"/>
    </row>
    <row r="23" spans="2:92" x14ac:dyDescent="0.25">
      <c r="B23" s="68"/>
      <c r="C23" s="53" t="s">
        <v>52</v>
      </c>
      <c r="D23" s="53"/>
      <c r="E23" s="61">
        <f>-$E$20*E17/100*E18</f>
        <v>0</v>
      </c>
      <c r="F23" s="54">
        <f>-$E$20*F17*F19</f>
        <v>132.61983196419618</v>
      </c>
      <c r="G23" s="54">
        <f t="shared" ref="G23:X23" si="44">-$E$20*G17*G19</f>
        <v>210.44629012798148</v>
      </c>
      <c r="H23" s="54">
        <f t="shared" si="44"/>
        <v>139.16132111135292</v>
      </c>
      <c r="I23" s="54">
        <f t="shared" si="44"/>
        <v>92.016861523028936</v>
      </c>
      <c r="J23" s="54">
        <f t="shared" si="44"/>
        <v>60.916182827791737</v>
      </c>
      <c r="K23" s="54">
        <f t="shared" si="44"/>
        <v>56.340710756905793</v>
      </c>
      <c r="L23" s="54">
        <f t="shared" si="44"/>
        <v>52.225808322866712</v>
      </c>
      <c r="M23" s="54">
        <f t="shared" si="44"/>
        <v>24.151539247644799</v>
      </c>
      <c r="N23" s="54">
        <f t="shared" si="44"/>
        <v>0</v>
      </c>
      <c r="O23" s="54">
        <f t="shared" si="44"/>
        <v>0</v>
      </c>
      <c r="P23" s="54">
        <f t="shared" si="44"/>
        <v>0</v>
      </c>
      <c r="Q23" s="54">
        <f t="shared" si="44"/>
        <v>0</v>
      </c>
      <c r="R23" s="54">
        <f t="shared" si="44"/>
        <v>0</v>
      </c>
      <c r="S23" s="54">
        <f t="shared" si="44"/>
        <v>0</v>
      </c>
      <c r="T23" s="54">
        <f t="shared" si="44"/>
        <v>0</v>
      </c>
      <c r="U23" s="54">
        <f t="shared" si="44"/>
        <v>0</v>
      </c>
      <c r="V23" s="54">
        <f t="shared" si="44"/>
        <v>0</v>
      </c>
      <c r="W23" s="54">
        <f t="shared" si="44"/>
        <v>0</v>
      </c>
      <c r="X23" s="54">
        <f t="shared" si="44"/>
        <v>0</v>
      </c>
      <c r="Y23" s="62">
        <f t="shared" ref="F23:Y23" si="45">-$E$20*Y17/100*Y18</f>
        <v>0</v>
      </c>
      <c r="Z23" s="55">
        <f t="shared" ref="Z23:Z24" si="46">SUM(E23:Y23)</f>
        <v>767.87854588176856</v>
      </c>
      <c r="AA23" s="73"/>
      <c r="AB23" s="77"/>
    </row>
    <row r="24" spans="2:92" ht="16.5" thickBot="1" x14ac:dyDescent="0.3">
      <c r="B24" s="69"/>
      <c r="C24" s="56" t="s">
        <v>53</v>
      </c>
      <c r="D24" s="56"/>
      <c r="E24" s="65">
        <f>E18*E17/100*$E$22</f>
        <v>0</v>
      </c>
      <c r="F24" s="57">
        <f>-F23*F16</f>
        <v>-99.464873973147135</v>
      </c>
      <c r="G24" s="57">
        <f t="shared" ref="G24:X24" si="47">-G23*G16</f>
        <v>-157.83471759598612</v>
      </c>
      <c r="H24" s="57">
        <f t="shared" si="47"/>
        <v>-104.3709908335147</v>
      </c>
      <c r="I24" s="57">
        <f t="shared" si="47"/>
        <v>-69.012646142271706</v>
      </c>
      <c r="J24" s="57">
        <f t="shared" si="47"/>
        <v>-45.687137120843801</v>
      </c>
      <c r="K24" s="57">
        <f t="shared" si="47"/>
        <v>-42.255533067679345</v>
      </c>
      <c r="L24" s="57">
        <f t="shared" si="47"/>
        <v>-39.16935624215003</v>
      </c>
      <c r="M24" s="57">
        <f t="shared" si="47"/>
        <v>-18.113654435733601</v>
      </c>
      <c r="N24" s="57">
        <f t="shared" si="47"/>
        <v>0</v>
      </c>
      <c r="O24" s="57">
        <f t="shared" si="47"/>
        <v>0</v>
      </c>
      <c r="P24" s="57">
        <f t="shared" si="47"/>
        <v>0</v>
      </c>
      <c r="Q24" s="57">
        <f t="shared" si="47"/>
        <v>0</v>
      </c>
      <c r="R24" s="57">
        <f t="shared" si="47"/>
        <v>0</v>
      </c>
      <c r="S24" s="57">
        <f t="shared" si="47"/>
        <v>0</v>
      </c>
      <c r="T24" s="57">
        <f t="shared" si="47"/>
        <v>0</v>
      </c>
      <c r="U24" s="57">
        <f t="shared" si="47"/>
        <v>0</v>
      </c>
      <c r="V24" s="57">
        <f t="shared" si="47"/>
        <v>0</v>
      </c>
      <c r="W24" s="57">
        <f t="shared" si="47"/>
        <v>0</v>
      </c>
      <c r="X24" s="57">
        <f t="shared" si="47"/>
        <v>0</v>
      </c>
      <c r="Y24" s="66">
        <f t="shared" ref="F24:Y24" si="48">Y18*Y17*$E$22</f>
        <v>0</v>
      </c>
      <c r="Z24" s="58">
        <f t="shared" si="46"/>
        <v>-575.90890941132636</v>
      </c>
      <c r="AA24" s="74"/>
      <c r="AB24" s="77"/>
    </row>
    <row r="25" spans="2:92" x14ac:dyDescent="0.25">
      <c r="B25" s="67" t="s">
        <v>50</v>
      </c>
      <c r="C25" s="31" t="s">
        <v>8</v>
      </c>
      <c r="D25" s="31"/>
      <c r="E25" s="59">
        <f>$D$109*($D$3/$D$110)^$D$111</f>
        <v>-2003.2214675054588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60">
        <v>0</v>
      </c>
      <c r="Z25" s="51"/>
      <c r="AA25" s="52"/>
      <c r="AB25" s="77"/>
    </row>
    <row r="26" spans="2:92" x14ac:dyDescent="0.25">
      <c r="B26" s="68"/>
      <c r="C26" s="53" t="s">
        <v>56</v>
      </c>
      <c r="D26" s="53"/>
      <c r="E26" s="61">
        <v>0</v>
      </c>
      <c r="F26" s="54">
        <f>SweepValue2!$X$29*F17</f>
        <v>1173.3960975230971</v>
      </c>
      <c r="G26" s="54">
        <f>SweepValue2!$X$29*G17</f>
        <v>1086.4778680769418</v>
      </c>
      <c r="H26" s="54">
        <f>SweepValue2!$X$29*H17</f>
        <v>1005.9980259971683</v>
      </c>
      <c r="I26" s="54">
        <f>SweepValue2!$X$29*I17</f>
        <v>931.47965370108159</v>
      </c>
      <c r="J26" s="54">
        <f>SweepValue2!$X$29*J17</f>
        <v>862.4811608343349</v>
      </c>
      <c r="K26" s="54">
        <f>SweepValue2!$X$29*K17</f>
        <v>798.59366743919873</v>
      </c>
      <c r="L26" s="54">
        <f>SweepValue2!$X$29*L17</f>
        <v>739.43858096222118</v>
      </c>
      <c r="M26" s="54">
        <f>SweepValue2!$X$29*M17</f>
        <v>684.66535274279727</v>
      </c>
      <c r="N26" s="54">
        <f>SweepValue2!$X$29*N17</f>
        <v>633.94940068777532</v>
      </c>
      <c r="O26" s="54">
        <f>SweepValue2!$X$29*O17</f>
        <v>586.99018582201404</v>
      </c>
      <c r="P26" s="54">
        <f>SweepValue2!$X$29*P17</f>
        <v>543.50943131667975</v>
      </c>
      <c r="Q26" s="54">
        <f>SweepValue2!$X$29*Q17</f>
        <v>503.24947344137001</v>
      </c>
      <c r="R26" s="54">
        <f>SweepValue2!$X$29*R17</f>
        <v>465.97173466793521</v>
      </c>
      <c r="S26" s="54">
        <f>SweepValue2!$X$29*S17</f>
        <v>431.45530987771775</v>
      </c>
      <c r="T26" s="54">
        <f>SweepValue2!$X$29*T17</f>
        <v>399.49565729418305</v>
      </c>
      <c r="U26" s="54">
        <f>SweepValue2!$X$29*U17</f>
        <v>369.90338638350283</v>
      </c>
      <c r="V26" s="54">
        <f>SweepValue2!$X$29*V17</f>
        <v>342.50313554028043</v>
      </c>
      <c r="W26" s="54">
        <f>SweepValue2!$X$29*W17</f>
        <v>317.13253290766698</v>
      </c>
      <c r="X26" s="54">
        <f>SweepValue2!$X$29*X17</f>
        <v>293.64123417376572</v>
      </c>
      <c r="Y26" s="62">
        <f>SweepValue2!$X$29*Y17</f>
        <v>271.89003164237567</v>
      </c>
      <c r="Z26" s="55">
        <f>SUM(E26:Y26)</f>
        <v>12442.221921032105</v>
      </c>
      <c r="AA26" s="73">
        <f>SUM(Z26:Z29)</f>
        <v>11323.479059130434</v>
      </c>
      <c r="AB26" s="77"/>
    </row>
    <row r="27" spans="2:92" x14ac:dyDescent="0.25">
      <c r="B27" s="68"/>
      <c r="C27" s="53" t="s">
        <v>24</v>
      </c>
      <c r="D27" s="53"/>
      <c r="E27" s="61">
        <f>E25*E16</f>
        <v>-1502.4161006290942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62">
        <v>0</v>
      </c>
      <c r="Z27" s="55">
        <f t="shared" ref="Z27:Z29" si="49">SUM(E27:Y27)</f>
        <v>-1502.4161006290942</v>
      </c>
      <c r="AA27" s="73"/>
      <c r="AB27" s="77"/>
    </row>
    <row r="28" spans="2:92" x14ac:dyDescent="0.25">
      <c r="B28" s="68"/>
      <c r="C28" s="53" t="s">
        <v>52</v>
      </c>
      <c r="D28" s="53"/>
      <c r="E28" s="63">
        <f>-$E$25*E17*E18/100</f>
        <v>0</v>
      </c>
      <c r="F28" s="55">
        <f>-$E$25*F17*F19</f>
        <v>265.05587750604633</v>
      </c>
      <c r="G28" s="55">
        <f t="shared" ref="G28:X28" si="50">-$E$25*G17*G19</f>
        <v>420.60094083683708</v>
      </c>
      <c r="H28" s="55">
        <f t="shared" si="50"/>
        <v>278.12979051299396</v>
      </c>
      <c r="I28" s="55">
        <f t="shared" si="50"/>
        <v>183.90620478936614</v>
      </c>
      <c r="J28" s="55">
        <f t="shared" si="50"/>
        <v>121.74794715543096</v>
      </c>
      <c r="K28" s="55">
        <f t="shared" si="50"/>
        <v>112.60334376699889</v>
      </c>
      <c r="L28" s="55">
        <f t="shared" si="50"/>
        <v>104.37924138840103</v>
      </c>
      <c r="M28" s="55">
        <f t="shared" si="50"/>
        <v>48.269608953617499</v>
      </c>
      <c r="N28" s="55">
        <f t="shared" si="50"/>
        <v>0</v>
      </c>
      <c r="O28" s="55">
        <f t="shared" si="50"/>
        <v>0</v>
      </c>
      <c r="P28" s="55">
        <f t="shared" si="50"/>
        <v>0</v>
      </c>
      <c r="Q28" s="55">
        <f t="shared" si="50"/>
        <v>0</v>
      </c>
      <c r="R28" s="55">
        <f t="shared" si="50"/>
        <v>0</v>
      </c>
      <c r="S28" s="55">
        <f t="shared" si="50"/>
        <v>0</v>
      </c>
      <c r="T28" s="55">
        <f t="shared" si="50"/>
        <v>0</v>
      </c>
      <c r="U28" s="55">
        <f t="shared" si="50"/>
        <v>0</v>
      </c>
      <c r="V28" s="55">
        <f t="shared" si="50"/>
        <v>0</v>
      </c>
      <c r="W28" s="55">
        <f t="shared" si="50"/>
        <v>0</v>
      </c>
      <c r="X28" s="55">
        <f t="shared" si="50"/>
        <v>0</v>
      </c>
      <c r="Y28" s="64">
        <f t="shared" ref="F28:Y28" si="51">-$E$25*Y17*Y18/100</f>
        <v>0</v>
      </c>
      <c r="Z28" s="55">
        <f t="shared" si="49"/>
        <v>1534.6929549096917</v>
      </c>
      <c r="AA28" s="73"/>
      <c r="AB28" s="77"/>
    </row>
    <row r="29" spans="2:92" ht="15.75" customHeight="1" thickBot="1" x14ac:dyDescent="0.3">
      <c r="B29" s="69"/>
      <c r="C29" s="56" t="s">
        <v>53</v>
      </c>
      <c r="D29" s="56"/>
      <c r="E29" s="65">
        <f>$E$27*E17*E18/100</f>
        <v>0</v>
      </c>
      <c r="F29" s="57">
        <f>-F28*F16</f>
        <v>-198.79190812953476</v>
      </c>
      <c r="G29" s="57">
        <f t="shared" ref="G29:X29" si="52">-G28*G16</f>
        <v>-315.45070562762783</v>
      </c>
      <c r="H29" s="57">
        <f t="shared" si="52"/>
        <v>-208.59734288474547</v>
      </c>
      <c r="I29" s="57">
        <f t="shared" si="52"/>
        <v>-137.92965359202461</v>
      </c>
      <c r="J29" s="57">
        <f t="shared" si="52"/>
        <v>-91.310960366573227</v>
      </c>
      <c r="K29" s="57">
        <f t="shared" si="52"/>
        <v>-84.452507825249171</v>
      </c>
      <c r="L29" s="57">
        <f t="shared" si="52"/>
        <v>-78.284431041300763</v>
      </c>
      <c r="M29" s="57">
        <f t="shared" si="52"/>
        <v>-36.202206715213123</v>
      </c>
      <c r="N29" s="57">
        <f t="shared" si="52"/>
        <v>0</v>
      </c>
      <c r="O29" s="57">
        <f t="shared" si="52"/>
        <v>0</v>
      </c>
      <c r="P29" s="57">
        <f t="shared" si="52"/>
        <v>0</v>
      </c>
      <c r="Q29" s="57">
        <f t="shared" si="52"/>
        <v>0</v>
      </c>
      <c r="R29" s="57">
        <f t="shared" si="52"/>
        <v>0</v>
      </c>
      <c r="S29" s="57">
        <f t="shared" si="52"/>
        <v>0</v>
      </c>
      <c r="T29" s="57">
        <f t="shared" si="52"/>
        <v>0</v>
      </c>
      <c r="U29" s="57">
        <f t="shared" si="52"/>
        <v>0</v>
      </c>
      <c r="V29" s="57">
        <f t="shared" si="52"/>
        <v>0</v>
      </c>
      <c r="W29" s="57">
        <f t="shared" si="52"/>
        <v>0</v>
      </c>
      <c r="X29" s="57">
        <f t="shared" si="52"/>
        <v>0</v>
      </c>
      <c r="Y29" s="66">
        <f t="shared" ref="F29:Y29" si="53">$E$27*Y17*Y18/100</f>
        <v>0</v>
      </c>
      <c r="Z29" s="58">
        <f t="shared" si="49"/>
        <v>-1151.0197161822691</v>
      </c>
      <c r="AA29" s="74"/>
      <c r="AB29" s="78"/>
    </row>
    <row r="32" spans="2:92" ht="16.5" thickBot="1" x14ac:dyDescent="0.3"/>
    <row r="33" spans="2:95" x14ac:dyDescent="0.25">
      <c r="C33" s="183" t="s">
        <v>84</v>
      </c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4"/>
      <c r="AJ33" s="183" t="s">
        <v>85</v>
      </c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4"/>
      <c r="BR33" s="187" t="s">
        <v>91</v>
      </c>
      <c r="BS33" s="188"/>
      <c r="BT33" s="188"/>
      <c r="BU33" s="188"/>
      <c r="BV33" s="188"/>
      <c r="BW33" s="188"/>
      <c r="BX33" s="188"/>
      <c r="BY33" s="188"/>
      <c r="BZ33" s="188"/>
      <c r="CA33" s="188"/>
      <c r="CB33" s="188"/>
      <c r="CC33" s="188"/>
      <c r="CD33" s="188"/>
      <c r="CE33" s="188"/>
      <c r="CF33" s="188"/>
      <c r="CG33" s="188"/>
      <c r="CH33" s="188"/>
      <c r="CI33" s="188"/>
      <c r="CJ33" s="188"/>
      <c r="CK33" s="188"/>
      <c r="CL33" s="188"/>
      <c r="CM33" s="188"/>
      <c r="CN33" s="188"/>
      <c r="CO33" s="188"/>
      <c r="CP33" s="188"/>
      <c r="CQ33" s="189"/>
    </row>
    <row r="34" spans="2:95" ht="62.25" customHeight="1" thickBot="1" x14ac:dyDescent="0.3">
      <c r="C34" s="165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7"/>
      <c r="AJ34" s="165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7"/>
      <c r="BR34" s="190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2"/>
    </row>
    <row r="35" spans="2:95" ht="16.5" thickBot="1" x14ac:dyDescent="0.3"/>
    <row r="36" spans="2:95" ht="16.5" thickBot="1" x14ac:dyDescent="0.3">
      <c r="C36" s="145" t="s">
        <v>77</v>
      </c>
      <c r="D36" s="146"/>
      <c r="E36" s="108">
        <v>0</v>
      </c>
      <c r="F36" s="108">
        <v>1</v>
      </c>
      <c r="G36" s="108">
        <v>2</v>
      </c>
      <c r="H36" s="108">
        <v>3</v>
      </c>
      <c r="I36" s="108">
        <v>4</v>
      </c>
      <c r="J36" s="108">
        <v>5</v>
      </c>
      <c r="K36" s="108">
        <v>6</v>
      </c>
      <c r="L36" s="108">
        <v>7</v>
      </c>
      <c r="M36" s="108">
        <v>8</v>
      </c>
      <c r="N36" s="108">
        <v>9</v>
      </c>
      <c r="O36" s="108">
        <v>10</v>
      </c>
      <c r="P36" s="108">
        <v>11</v>
      </c>
      <c r="Q36" s="108">
        <v>12</v>
      </c>
      <c r="R36" s="108">
        <v>13</v>
      </c>
      <c r="S36" s="108">
        <v>14</v>
      </c>
      <c r="T36" s="108">
        <v>15</v>
      </c>
      <c r="U36" s="108">
        <v>16</v>
      </c>
      <c r="V36" s="108">
        <v>17</v>
      </c>
      <c r="W36" s="108">
        <v>18</v>
      </c>
      <c r="X36" s="108">
        <v>19</v>
      </c>
      <c r="Y36" s="109">
        <v>20</v>
      </c>
      <c r="AJ36" s="145" t="s">
        <v>77</v>
      </c>
      <c r="AK36" s="146"/>
      <c r="AL36" s="108">
        <v>0</v>
      </c>
      <c r="AM36" s="108">
        <v>1</v>
      </c>
      <c r="AN36" s="108">
        <v>2</v>
      </c>
      <c r="AO36" s="108">
        <v>3</v>
      </c>
      <c r="AP36" s="108">
        <v>4</v>
      </c>
      <c r="AQ36" s="108">
        <v>5</v>
      </c>
      <c r="AR36" s="108">
        <v>6</v>
      </c>
      <c r="AS36" s="108">
        <v>7</v>
      </c>
      <c r="AT36" s="108">
        <v>8</v>
      </c>
      <c r="AU36" s="108">
        <v>9</v>
      </c>
      <c r="AV36" s="108">
        <v>10</v>
      </c>
      <c r="AW36" s="108">
        <v>11</v>
      </c>
      <c r="AX36" s="108">
        <v>12</v>
      </c>
      <c r="AY36" s="108">
        <v>13</v>
      </c>
      <c r="AZ36" s="108">
        <v>14</v>
      </c>
      <c r="BA36" s="108">
        <v>15</v>
      </c>
      <c r="BB36" s="108">
        <v>16</v>
      </c>
      <c r="BC36" s="108">
        <v>17</v>
      </c>
      <c r="BD36" s="108">
        <v>18</v>
      </c>
      <c r="BE36" s="108">
        <v>19</v>
      </c>
      <c r="BF36" s="109">
        <v>20</v>
      </c>
      <c r="BR36" s="145" t="s">
        <v>77</v>
      </c>
      <c r="BS36" s="146"/>
      <c r="BT36" s="108">
        <v>0</v>
      </c>
      <c r="BU36" s="108">
        <v>1</v>
      </c>
      <c r="BV36" s="108">
        <v>2</v>
      </c>
      <c r="BW36" s="108">
        <v>3</v>
      </c>
      <c r="BX36" s="108">
        <v>4</v>
      </c>
      <c r="BY36" s="108">
        <v>5</v>
      </c>
      <c r="BZ36" s="108">
        <v>6</v>
      </c>
      <c r="CA36" s="108">
        <v>7</v>
      </c>
      <c r="CB36" s="108">
        <v>8</v>
      </c>
      <c r="CC36" s="108">
        <v>9</v>
      </c>
      <c r="CD36" s="108">
        <v>10</v>
      </c>
      <c r="CE36" s="108">
        <v>11</v>
      </c>
      <c r="CF36" s="108">
        <v>12</v>
      </c>
      <c r="CG36" s="108">
        <v>13</v>
      </c>
      <c r="CH36" s="108">
        <v>14</v>
      </c>
      <c r="CI36" s="108">
        <v>15</v>
      </c>
      <c r="CJ36" s="108">
        <v>16</v>
      </c>
      <c r="CK36" s="108">
        <v>17</v>
      </c>
      <c r="CL36" s="108">
        <v>18</v>
      </c>
      <c r="CM36" s="108">
        <v>19</v>
      </c>
      <c r="CN36" s="109">
        <v>20</v>
      </c>
    </row>
    <row r="37" spans="2:95" x14ac:dyDescent="0.25">
      <c r="C37" s="147" t="s">
        <v>75</v>
      </c>
      <c r="D37" s="148" t="s">
        <v>82</v>
      </c>
      <c r="E37" s="113">
        <v>5</v>
      </c>
      <c r="F37" s="113">
        <v>6</v>
      </c>
      <c r="G37" s="113">
        <v>7</v>
      </c>
      <c r="H37" s="113">
        <v>8</v>
      </c>
      <c r="I37" s="113">
        <v>9</v>
      </c>
      <c r="J37" s="113">
        <v>10</v>
      </c>
      <c r="K37" s="113">
        <v>11</v>
      </c>
      <c r="L37" s="113">
        <v>12</v>
      </c>
      <c r="M37" s="113">
        <v>13</v>
      </c>
      <c r="N37" s="113">
        <v>14</v>
      </c>
      <c r="O37" s="113">
        <v>15</v>
      </c>
      <c r="P37" s="113">
        <v>16</v>
      </c>
      <c r="Q37" s="113">
        <v>17</v>
      </c>
      <c r="R37" s="113">
        <v>18</v>
      </c>
      <c r="S37" s="113">
        <v>19</v>
      </c>
      <c r="T37" s="113">
        <v>20</v>
      </c>
      <c r="U37" s="114">
        <v>21</v>
      </c>
      <c r="V37" s="114">
        <v>22</v>
      </c>
      <c r="W37" s="114">
        <v>23</v>
      </c>
      <c r="X37" s="114">
        <v>24</v>
      </c>
      <c r="Y37" s="139">
        <v>25</v>
      </c>
      <c r="AJ37" s="147" t="s">
        <v>75</v>
      </c>
      <c r="AK37" s="148" t="s">
        <v>82</v>
      </c>
      <c r="AL37" s="113">
        <v>10</v>
      </c>
      <c r="AM37" s="113">
        <v>11</v>
      </c>
      <c r="AN37" s="113">
        <v>12</v>
      </c>
      <c r="AO37" s="113">
        <v>13</v>
      </c>
      <c r="AP37" s="113">
        <v>14</v>
      </c>
      <c r="AQ37" s="113">
        <v>15</v>
      </c>
      <c r="AR37" s="113">
        <v>16</v>
      </c>
      <c r="AS37" s="113">
        <v>17</v>
      </c>
      <c r="AT37" s="113">
        <v>18</v>
      </c>
      <c r="AU37" s="113">
        <v>19</v>
      </c>
      <c r="AV37" s="113">
        <v>20</v>
      </c>
      <c r="AW37" s="113">
        <v>21</v>
      </c>
      <c r="AX37" s="113">
        <v>22</v>
      </c>
      <c r="AY37" s="113">
        <v>23</v>
      </c>
      <c r="AZ37" s="113">
        <v>24</v>
      </c>
      <c r="BA37" s="113">
        <v>25</v>
      </c>
      <c r="BB37" s="114">
        <v>26</v>
      </c>
      <c r="BC37" s="114">
        <v>27</v>
      </c>
      <c r="BD37" s="114">
        <v>28</v>
      </c>
      <c r="BE37" s="114">
        <v>29</v>
      </c>
      <c r="BF37" s="114">
        <v>30</v>
      </c>
      <c r="BR37" s="147" t="s">
        <v>75</v>
      </c>
      <c r="BS37" s="148" t="s">
        <v>82</v>
      </c>
      <c r="BT37" s="113">
        <v>10</v>
      </c>
      <c r="BU37" s="113">
        <v>11</v>
      </c>
      <c r="BV37" s="113">
        <v>12</v>
      </c>
      <c r="BW37" s="113">
        <v>13</v>
      </c>
      <c r="BX37" s="113">
        <v>14</v>
      </c>
      <c r="BY37" s="113">
        <v>15</v>
      </c>
      <c r="BZ37" s="113">
        <v>16</v>
      </c>
      <c r="CA37" s="113">
        <v>17</v>
      </c>
      <c r="CB37" s="113">
        <v>18</v>
      </c>
      <c r="CC37" s="113">
        <v>19</v>
      </c>
      <c r="CD37" s="113">
        <v>20</v>
      </c>
      <c r="CE37" s="113">
        <v>21</v>
      </c>
      <c r="CF37" s="113">
        <v>22</v>
      </c>
      <c r="CG37" s="113">
        <v>23</v>
      </c>
      <c r="CH37" s="113">
        <v>24</v>
      </c>
      <c r="CI37" s="113">
        <v>25</v>
      </c>
      <c r="CJ37" s="113">
        <v>26</v>
      </c>
      <c r="CK37" s="113">
        <v>27</v>
      </c>
      <c r="CL37" s="113">
        <v>28</v>
      </c>
      <c r="CM37" s="113">
        <v>29</v>
      </c>
      <c r="CN37" s="185">
        <v>30</v>
      </c>
    </row>
    <row r="38" spans="2:95" x14ac:dyDescent="0.25">
      <c r="C38" s="147" t="s">
        <v>75</v>
      </c>
      <c r="D38" s="148" t="s">
        <v>83</v>
      </c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4" t="s">
        <v>80</v>
      </c>
      <c r="U38" s="117"/>
      <c r="V38" s="117"/>
      <c r="W38" s="117"/>
      <c r="X38" s="117"/>
      <c r="Y38" s="133"/>
      <c r="AJ38" s="147" t="s">
        <v>75</v>
      </c>
      <c r="AK38" s="148" t="s">
        <v>83</v>
      </c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4" t="s">
        <v>80</v>
      </c>
      <c r="BB38" s="117"/>
      <c r="BC38" s="117"/>
      <c r="BD38" s="117"/>
      <c r="BE38" s="117"/>
      <c r="BF38" s="133"/>
      <c r="BR38" s="147" t="s">
        <v>75</v>
      </c>
      <c r="BS38" s="148" t="s">
        <v>83</v>
      </c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86"/>
    </row>
    <row r="39" spans="2:95" ht="16.5" thickBot="1" x14ac:dyDescent="0.3">
      <c r="C39" s="150" t="s">
        <v>76</v>
      </c>
      <c r="D39" s="151"/>
      <c r="E39" s="118">
        <v>5</v>
      </c>
      <c r="F39" s="118">
        <v>6</v>
      </c>
      <c r="G39" s="118">
        <v>7</v>
      </c>
      <c r="H39" s="118">
        <v>8</v>
      </c>
      <c r="I39" s="119">
        <v>0</v>
      </c>
      <c r="J39" s="135">
        <v>0</v>
      </c>
      <c r="K39" s="135">
        <v>0</v>
      </c>
      <c r="L39" s="135">
        <v>0</v>
      </c>
      <c r="M39" s="135">
        <v>0</v>
      </c>
      <c r="N39" s="135">
        <v>0</v>
      </c>
      <c r="O39" s="135">
        <v>0</v>
      </c>
      <c r="P39" s="135">
        <v>0</v>
      </c>
      <c r="Q39" s="135">
        <v>0</v>
      </c>
      <c r="R39" s="135">
        <v>0</v>
      </c>
      <c r="S39" s="135">
        <v>0</v>
      </c>
      <c r="T39" s="135">
        <v>0</v>
      </c>
      <c r="U39" s="134">
        <v>1</v>
      </c>
      <c r="V39" s="134">
        <v>2</v>
      </c>
      <c r="W39" s="134">
        <v>3</v>
      </c>
      <c r="X39" s="134">
        <v>4</v>
      </c>
      <c r="Y39" s="136">
        <v>5</v>
      </c>
      <c r="AJ39" s="150" t="s">
        <v>76</v>
      </c>
      <c r="AK39" s="151"/>
      <c r="AL39" s="119">
        <v>0</v>
      </c>
      <c r="AM39" s="119">
        <v>0</v>
      </c>
      <c r="AN39" s="119">
        <v>0</v>
      </c>
      <c r="AO39" s="119">
        <v>0</v>
      </c>
      <c r="AP39" s="119">
        <v>0</v>
      </c>
      <c r="AQ39" s="135">
        <v>0</v>
      </c>
      <c r="AR39" s="135">
        <v>0</v>
      </c>
      <c r="AS39" s="135">
        <v>0</v>
      </c>
      <c r="AT39" s="135">
        <v>0</v>
      </c>
      <c r="AU39" s="135">
        <v>0</v>
      </c>
      <c r="AV39" s="135">
        <v>0</v>
      </c>
      <c r="AW39" s="135">
        <v>0</v>
      </c>
      <c r="AX39" s="135">
        <v>0</v>
      </c>
      <c r="AY39" s="135">
        <v>0</v>
      </c>
      <c r="AZ39" s="135">
        <v>0</v>
      </c>
      <c r="BA39" s="135">
        <v>0</v>
      </c>
      <c r="BB39" s="134">
        <v>1</v>
      </c>
      <c r="BC39" s="134">
        <v>2</v>
      </c>
      <c r="BD39" s="134">
        <v>3</v>
      </c>
      <c r="BE39" s="134">
        <v>4</v>
      </c>
      <c r="BF39" s="136">
        <v>5</v>
      </c>
      <c r="BR39" s="150" t="s">
        <v>76</v>
      </c>
      <c r="BS39" s="151"/>
      <c r="BT39" s="119">
        <v>0</v>
      </c>
      <c r="BU39" s="119">
        <v>0</v>
      </c>
      <c r="BV39" s="119">
        <v>0</v>
      </c>
      <c r="BW39" s="119">
        <v>0</v>
      </c>
      <c r="BX39" s="119">
        <v>0</v>
      </c>
      <c r="BY39" s="135">
        <v>0</v>
      </c>
      <c r="BZ39" s="135">
        <v>0</v>
      </c>
      <c r="CA39" s="135">
        <v>0</v>
      </c>
      <c r="CB39" s="135">
        <v>0</v>
      </c>
      <c r="CC39" s="135">
        <v>0</v>
      </c>
      <c r="CD39" s="135">
        <v>0</v>
      </c>
      <c r="CE39" s="135">
        <v>0</v>
      </c>
      <c r="CF39" s="135">
        <v>0</v>
      </c>
      <c r="CG39" s="135">
        <v>0</v>
      </c>
      <c r="CH39" s="135">
        <v>0</v>
      </c>
      <c r="CI39" s="135">
        <v>0</v>
      </c>
      <c r="CJ39" s="135">
        <v>0</v>
      </c>
      <c r="CK39" s="135">
        <v>0</v>
      </c>
      <c r="CL39" s="135">
        <v>0</v>
      </c>
      <c r="CM39" s="135">
        <v>0</v>
      </c>
      <c r="CN39" s="138">
        <v>0</v>
      </c>
    </row>
    <row r="40" spans="2:95" ht="16.5" thickBot="1" x14ac:dyDescent="0.3">
      <c r="C40" s="149" t="s">
        <v>77</v>
      </c>
      <c r="D40" s="148"/>
      <c r="E40" s="111">
        <v>-1</v>
      </c>
      <c r="F40" s="111">
        <v>-2</v>
      </c>
      <c r="G40" s="111">
        <v>-3</v>
      </c>
      <c r="H40" s="111">
        <v>-4</v>
      </c>
      <c r="I40" s="112">
        <v>-5</v>
      </c>
      <c r="AJ40" s="149" t="s">
        <v>77</v>
      </c>
      <c r="AK40" s="148"/>
      <c r="AL40" s="110">
        <v>-1</v>
      </c>
      <c r="AM40" s="111">
        <v>-2</v>
      </c>
      <c r="AN40" s="111">
        <v>-3</v>
      </c>
      <c r="AO40" s="111">
        <v>-4</v>
      </c>
      <c r="AP40" s="111">
        <v>-5</v>
      </c>
      <c r="AQ40" s="111">
        <v>-6</v>
      </c>
      <c r="AR40" s="111">
        <v>-7</v>
      </c>
      <c r="AS40" s="111">
        <v>-8</v>
      </c>
      <c r="AT40" s="111">
        <v>-9</v>
      </c>
      <c r="AU40" s="112">
        <v>-10</v>
      </c>
      <c r="BR40" s="149" t="s">
        <v>77</v>
      </c>
      <c r="BS40" s="148"/>
      <c r="BT40" s="110">
        <v>-1</v>
      </c>
      <c r="BU40" s="111">
        <v>-2</v>
      </c>
      <c r="BV40" s="111">
        <v>-3</v>
      </c>
      <c r="BW40" s="111">
        <v>-4</v>
      </c>
      <c r="BX40" s="111">
        <v>-5</v>
      </c>
      <c r="BY40" s="111">
        <v>-6</v>
      </c>
      <c r="BZ40" s="111">
        <v>-7</v>
      </c>
      <c r="CA40" s="111">
        <v>-8</v>
      </c>
      <c r="CB40" s="111">
        <v>-9</v>
      </c>
      <c r="CC40" s="112">
        <v>-10</v>
      </c>
    </row>
    <row r="41" spans="2:95" x14ac:dyDescent="0.25">
      <c r="C41" s="147" t="s">
        <v>75</v>
      </c>
      <c r="D41" s="148" t="s">
        <v>82</v>
      </c>
      <c r="E41" s="107">
        <v>4</v>
      </c>
      <c r="F41" s="107">
        <v>3</v>
      </c>
      <c r="G41" s="107">
        <v>2</v>
      </c>
      <c r="H41" s="107">
        <v>1</v>
      </c>
      <c r="I41" s="140" t="s">
        <v>21</v>
      </c>
      <c r="AJ41" s="147" t="s">
        <v>75</v>
      </c>
      <c r="AK41" s="148" t="s">
        <v>82</v>
      </c>
      <c r="AL41" s="107">
        <v>9</v>
      </c>
      <c r="AM41" s="107">
        <v>8</v>
      </c>
      <c r="AN41" s="107">
        <v>7</v>
      </c>
      <c r="AO41" s="107">
        <v>6</v>
      </c>
      <c r="AP41" s="107">
        <v>5</v>
      </c>
      <c r="AQ41" s="107">
        <v>4</v>
      </c>
      <c r="AR41" s="107">
        <v>3</v>
      </c>
      <c r="AS41" s="107">
        <v>2</v>
      </c>
      <c r="AT41" s="107">
        <v>1</v>
      </c>
      <c r="AU41" s="140" t="s">
        <v>21</v>
      </c>
      <c r="BR41" s="147" t="s">
        <v>75</v>
      </c>
      <c r="BS41" s="148" t="s">
        <v>82</v>
      </c>
      <c r="BT41" s="107">
        <v>9</v>
      </c>
      <c r="BU41" s="107">
        <v>8</v>
      </c>
      <c r="BV41" s="107">
        <v>7</v>
      </c>
      <c r="BW41" s="107">
        <v>6</v>
      </c>
      <c r="BX41" s="107">
        <v>5</v>
      </c>
      <c r="BY41" s="107">
        <v>4</v>
      </c>
      <c r="BZ41" s="107">
        <v>3</v>
      </c>
      <c r="CA41" s="107">
        <v>2</v>
      </c>
      <c r="CB41" s="107">
        <v>1</v>
      </c>
      <c r="CC41" s="140" t="s">
        <v>21</v>
      </c>
    </row>
    <row r="42" spans="2:95" x14ac:dyDescent="0.25">
      <c r="C42" s="147" t="s">
        <v>75</v>
      </c>
      <c r="D42" s="148" t="s">
        <v>83</v>
      </c>
      <c r="E42" s="115"/>
      <c r="F42" s="115"/>
      <c r="G42" s="115"/>
      <c r="H42" s="115"/>
      <c r="I42" s="137" t="s">
        <v>79</v>
      </c>
      <c r="M42" s="141"/>
      <c r="AJ42" s="147" t="s">
        <v>75</v>
      </c>
      <c r="AK42" s="148" t="s">
        <v>83</v>
      </c>
      <c r="AL42" s="115"/>
      <c r="AM42" s="115"/>
      <c r="AN42" s="115"/>
      <c r="AO42" s="115"/>
      <c r="AP42" s="115"/>
      <c r="AQ42" s="115"/>
      <c r="AR42" s="115"/>
      <c r="AS42" s="115"/>
      <c r="AT42" s="115"/>
      <c r="AU42" s="137" t="s">
        <v>79</v>
      </c>
      <c r="BR42" s="147" t="s">
        <v>75</v>
      </c>
      <c r="BS42" s="148" t="s">
        <v>83</v>
      </c>
      <c r="BT42" s="115"/>
      <c r="BU42" s="115"/>
      <c r="BV42" s="115"/>
      <c r="BW42" s="115"/>
      <c r="BX42" s="115"/>
      <c r="BY42" s="115"/>
      <c r="BZ42" s="115"/>
      <c r="CA42" s="115"/>
      <c r="CB42" s="115"/>
      <c r="CC42" s="137" t="s">
        <v>79</v>
      </c>
    </row>
    <row r="43" spans="2:95" ht="16.5" thickBot="1" x14ac:dyDescent="0.3">
      <c r="C43" s="150" t="s">
        <v>76</v>
      </c>
      <c r="D43" s="151"/>
      <c r="E43" s="134">
        <v>4</v>
      </c>
      <c r="F43" s="134">
        <v>3</v>
      </c>
      <c r="G43" s="134">
        <v>2</v>
      </c>
      <c r="H43" s="134">
        <v>1</v>
      </c>
      <c r="I43" s="138">
        <v>0</v>
      </c>
      <c r="AJ43" s="150" t="s">
        <v>76</v>
      </c>
      <c r="AK43" s="151"/>
      <c r="AL43" s="135">
        <v>0</v>
      </c>
      <c r="AM43" s="134">
        <v>8</v>
      </c>
      <c r="AN43" s="134">
        <v>7</v>
      </c>
      <c r="AO43" s="134">
        <v>6</v>
      </c>
      <c r="AP43" s="134">
        <v>5</v>
      </c>
      <c r="AQ43" s="134">
        <v>4</v>
      </c>
      <c r="AR43" s="134">
        <v>3</v>
      </c>
      <c r="AS43" s="134">
        <v>2</v>
      </c>
      <c r="AT43" s="134">
        <v>1</v>
      </c>
      <c r="AU43" s="138">
        <v>0</v>
      </c>
      <c r="BR43" s="150" t="s">
        <v>76</v>
      </c>
      <c r="BS43" s="151"/>
      <c r="BT43" s="135">
        <v>0</v>
      </c>
      <c r="BU43" s="134">
        <v>8</v>
      </c>
      <c r="BV43" s="134">
        <v>7</v>
      </c>
      <c r="BW43" s="134">
        <v>6</v>
      </c>
      <c r="BX43" s="134">
        <v>5</v>
      </c>
      <c r="BY43" s="134">
        <v>4</v>
      </c>
      <c r="BZ43" s="134">
        <v>3</v>
      </c>
      <c r="CA43" s="134">
        <v>2</v>
      </c>
      <c r="CB43" s="134">
        <v>1</v>
      </c>
      <c r="CC43" s="138">
        <v>0</v>
      </c>
    </row>
    <row r="44" spans="2:95" ht="16.5" thickBot="1" x14ac:dyDescent="0.3"/>
    <row r="45" spans="2:95" ht="16.5" thickBot="1" x14ac:dyDescent="0.3">
      <c r="C45" s="103" t="s">
        <v>77</v>
      </c>
      <c r="D45" s="104"/>
      <c r="E45" s="105">
        <v>0</v>
      </c>
      <c r="F45" s="105">
        <v>1</v>
      </c>
      <c r="G45" s="105">
        <v>2</v>
      </c>
      <c r="H45" s="105">
        <v>3</v>
      </c>
      <c r="I45" s="105">
        <v>4</v>
      </c>
      <c r="J45" s="105">
        <v>5</v>
      </c>
      <c r="K45" s="105">
        <v>6</v>
      </c>
      <c r="L45" s="105">
        <v>7</v>
      </c>
      <c r="M45" s="105">
        <v>8</v>
      </c>
      <c r="N45" s="105">
        <v>9</v>
      </c>
      <c r="O45" s="105">
        <v>10</v>
      </c>
      <c r="P45" s="105">
        <v>11</v>
      </c>
      <c r="Q45" s="105">
        <v>12</v>
      </c>
      <c r="R45" s="105">
        <v>13</v>
      </c>
      <c r="S45" s="105">
        <v>14</v>
      </c>
      <c r="T45" s="105">
        <v>15</v>
      </c>
      <c r="U45" s="105">
        <v>16</v>
      </c>
      <c r="V45" s="105">
        <v>17</v>
      </c>
      <c r="W45" s="105">
        <v>18</v>
      </c>
      <c r="X45" s="105">
        <v>19</v>
      </c>
      <c r="Y45" s="106">
        <v>20</v>
      </c>
      <c r="AJ45" s="103" t="s">
        <v>77</v>
      </c>
      <c r="AK45" s="104"/>
      <c r="AL45" s="105">
        <v>0</v>
      </c>
      <c r="AM45" s="105">
        <v>1</v>
      </c>
      <c r="AN45" s="105">
        <v>2</v>
      </c>
      <c r="AO45" s="105">
        <v>3</v>
      </c>
      <c r="AP45" s="105">
        <v>4</v>
      </c>
      <c r="AQ45" s="105">
        <v>5</v>
      </c>
      <c r="AR45" s="105">
        <v>6</v>
      </c>
      <c r="AS45" s="105">
        <v>7</v>
      </c>
      <c r="AT45" s="105">
        <v>8</v>
      </c>
      <c r="AU45" s="105">
        <v>9</v>
      </c>
      <c r="AV45" s="105">
        <v>10</v>
      </c>
      <c r="AW45" s="105">
        <v>11</v>
      </c>
      <c r="AX45" s="105">
        <v>12</v>
      </c>
      <c r="AY45" s="105">
        <v>13</v>
      </c>
      <c r="AZ45" s="105">
        <v>14</v>
      </c>
      <c r="BA45" s="105">
        <v>15</v>
      </c>
      <c r="BB45" s="105">
        <v>16</v>
      </c>
      <c r="BC45" s="105">
        <v>17</v>
      </c>
      <c r="BD45" s="105">
        <v>18</v>
      </c>
      <c r="BE45" s="105">
        <v>19</v>
      </c>
      <c r="BF45" s="106">
        <v>20</v>
      </c>
      <c r="BR45" s="103" t="s">
        <v>77</v>
      </c>
      <c r="BS45" s="104"/>
      <c r="BT45" s="105">
        <v>0</v>
      </c>
      <c r="BU45" s="105">
        <v>1</v>
      </c>
      <c r="BV45" s="105">
        <v>2</v>
      </c>
      <c r="BW45" s="105">
        <v>3</v>
      </c>
      <c r="BX45" s="105">
        <v>4</v>
      </c>
      <c r="BY45" s="105">
        <v>5</v>
      </c>
      <c r="BZ45" s="105">
        <v>6</v>
      </c>
      <c r="CA45" s="105">
        <v>7</v>
      </c>
      <c r="CB45" s="105">
        <v>8</v>
      </c>
      <c r="CC45" s="105">
        <v>9</v>
      </c>
      <c r="CD45" s="105">
        <v>10</v>
      </c>
      <c r="CE45" s="105">
        <v>11</v>
      </c>
      <c r="CF45" s="105">
        <v>12</v>
      </c>
      <c r="CG45" s="105">
        <v>13</v>
      </c>
      <c r="CH45" s="105">
        <v>14</v>
      </c>
      <c r="CI45" s="105">
        <v>15</v>
      </c>
      <c r="CJ45" s="105">
        <v>16</v>
      </c>
      <c r="CK45" s="105">
        <v>17</v>
      </c>
      <c r="CL45" s="105">
        <v>18</v>
      </c>
      <c r="CM45" s="105">
        <v>19</v>
      </c>
      <c r="CN45" s="106">
        <v>20</v>
      </c>
    </row>
    <row r="46" spans="2:95" ht="16.5" thickBot="1" x14ac:dyDescent="0.3">
      <c r="C46" s="120" t="s">
        <v>76</v>
      </c>
      <c r="D46" s="121"/>
      <c r="E46" s="122">
        <v>5</v>
      </c>
      <c r="F46" s="123">
        <v>6</v>
      </c>
      <c r="G46" s="123">
        <v>7</v>
      </c>
      <c r="H46" s="123">
        <v>8</v>
      </c>
      <c r="I46" s="160">
        <v>0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0</v>
      </c>
      <c r="S46" s="160">
        <v>0</v>
      </c>
      <c r="T46" s="160">
        <v>0</v>
      </c>
      <c r="U46" s="123">
        <v>1</v>
      </c>
      <c r="V46" s="123">
        <v>2</v>
      </c>
      <c r="W46" s="123">
        <v>3</v>
      </c>
      <c r="X46" s="123">
        <v>4</v>
      </c>
      <c r="Y46" s="124">
        <v>5</v>
      </c>
      <c r="AB46" s="5"/>
      <c r="AJ46" s="120" t="s">
        <v>76</v>
      </c>
      <c r="AK46" s="121"/>
      <c r="AL46" s="160">
        <v>0</v>
      </c>
      <c r="AM46" s="160">
        <v>0</v>
      </c>
      <c r="AN46" s="160">
        <v>0</v>
      </c>
      <c r="AO46" s="160">
        <v>0</v>
      </c>
      <c r="AP46" s="160">
        <v>0</v>
      </c>
      <c r="AQ46" s="160">
        <v>0</v>
      </c>
      <c r="AR46" s="160">
        <v>0</v>
      </c>
      <c r="AS46" s="160">
        <v>0</v>
      </c>
      <c r="AT46" s="160">
        <v>0</v>
      </c>
      <c r="AU46" s="160">
        <v>0</v>
      </c>
      <c r="AV46" s="160">
        <v>0</v>
      </c>
      <c r="AW46" s="160">
        <v>0</v>
      </c>
      <c r="AX46" s="160">
        <v>0</v>
      </c>
      <c r="AY46" s="160">
        <v>0</v>
      </c>
      <c r="AZ46" s="160">
        <v>0</v>
      </c>
      <c r="BA46" s="160">
        <v>0</v>
      </c>
      <c r="BB46" s="123">
        <v>1</v>
      </c>
      <c r="BC46" s="123">
        <v>2</v>
      </c>
      <c r="BD46" s="123">
        <v>3</v>
      </c>
      <c r="BE46" s="123">
        <v>4</v>
      </c>
      <c r="BF46" s="124">
        <v>5</v>
      </c>
      <c r="BI46" s="5"/>
      <c r="BR46" s="120" t="s">
        <v>76</v>
      </c>
      <c r="BS46" s="121"/>
      <c r="BT46" s="198">
        <v>0</v>
      </c>
      <c r="BU46" s="160">
        <v>0</v>
      </c>
      <c r="BV46" s="160">
        <v>0</v>
      </c>
      <c r="BW46" s="160">
        <v>0</v>
      </c>
      <c r="BX46" s="160">
        <v>0</v>
      </c>
      <c r="BY46" s="160">
        <v>0</v>
      </c>
      <c r="BZ46" s="160">
        <v>0</v>
      </c>
      <c r="CA46" s="160">
        <v>0</v>
      </c>
      <c r="CB46" s="160">
        <v>0</v>
      </c>
      <c r="CC46" s="160">
        <v>0</v>
      </c>
      <c r="CD46" s="160">
        <v>0</v>
      </c>
      <c r="CE46" s="160">
        <v>0</v>
      </c>
      <c r="CF46" s="160">
        <v>0</v>
      </c>
      <c r="CG46" s="160">
        <v>0</v>
      </c>
      <c r="CH46" s="160">
        <v>0</v>
      </c>
      <c r="CI46" s="160">
        <v>0</v>
      </c>
      <c r="CJ46" s="160">
        <v>0</v>
      </c>
      <c r="CK46" s="160">
        <v>0</v>
      </c>
      <c r="CL46" s="160">
        <v>0</v>
      </c>
      <c r="CM46" s="160">
        <v>0</v>
      </c>
      <c r="CN46" s="199">
        <v>0</v>
      </c>
      <c r="CQ46" s="14" t="s">
        <v>89</v>
      </c>
    </row>
    <row r="47" spans="2:95" ht="32.25" customHeight="1" thickBot="1" x14ac:dyDescent="0.3">
      <c r="C47" s="125" t="s">
        <v>78</v>
      </c>
      <c r="D47" s="126"/>
      <c r="E47" s="127">
        <f>J18/100</f>
        <v>8.929999999999999E-2</v>
      </c>
      <c r="F47" s="128">
        <f t="shared" ref="F47:H47" si="54">K18/100</f>
        <v>8.9200000000000002E-2</v>
      </c>
      <c r="G47" s="128">
        <f t="shared" si="54"/>
        <v>8.929999999999999E-2</v>
      </c>
      <c r="H47" s="128">
        <f t="shared" si="54"/>
        <v>4.4600000000000001E-2</v>
      </c>
      <c r="I47" s="161">
        <v>0</v>
      </c>
      <c r="J47" s="161">
        <v>0</v>
      </c>
      <c r="K47" s="161">
        <v>0</v>
      </c>
      <c r="L47" s="161">
        <v>0</v>
      </c>
      <c r="M47" s="161">
        <v>0</v>
      </c>
      <c r="N47" s="161">
        <v>0</v>
      </c>
      <c r="O47" s="161">
        <v>0</v>
      </c>
      <c r="P47" s="161">
        <v>0</v>
      </c>
      <c r="Q47" s="161">
        <v>0</v>
      </c>
      <c r="R47" s="161">
        <v>0</v>
      </c>
      <c r="S47" s="161">
        <v>0</v>
      </c>
      <c r="T47" s="161">
        <v>0</v>
      </c>
      <c r="U47" s="128">
        <f>F18/100</f>
        <v>0.1429</v>
      </c>
      <c r="V47" s="128">
        <f t="shared" ref="V47:Y47" si="55">G18/100</f>
        <v>0.24489999999999998</v>
      </c>
      <c r="W47" s="128">
        <f t="shared" si="55"/>
        <v>0.17489999999999997</v>
      </c>
      <c r="X47" s="128">
        <f t="shared" si="55"/>
        <v>0.1249</v>
      </c>
      <c r="Y47" s="129">
        <f t="shared" si="55"/>
        <v>8.929999999999999E-2</v>
      </c>
      <c r="AB47" s="184" t="s">
        <v>62</v>
      </c>
      <c r="AJ47" s="125" t="s">
        <v>78</v>
      </c>
      <c r="AK47" s="126"/>
      <c r="AL47" s="161">
        <v>0</v>
      </c>
      <c r="AM47" s="161">
        <v>0</v>
      </c>
      <c r="AN47" s="161">
        <v>0</v>
      </c>
      <c r="AO47" s="161">
        <v>0</v>
      </c>
      <c r="AP47" s="161">
        <v>0</v>
      </c>
      <c r="AQ47" s="161">
        <v>0</v>
      </c>
      <c r="AR47" s="161">
        <v>0</v>
      </c>
      <c r="AS47" s="161">
        <v>0</v>
      </c>
      <c r="AT47" s="161">
        <v>0</v>
      </c>
      <c r="AU47" s="161">
        <v>0</v>
      </c>
      <c r="AV47" s="161">
        <v>0</v>
      </c>
      <c r="AW47" s="161">
        <v>0</v>
      </c>
      <c r="AX47" s="161">
        <v>0</v>
      </c>
      <c r="AY47" s="161">
        <v>0</v>
      </c>
      <c r="AZ47" s="161">
        <v>0</v>
      </c>
      <c r="BA47" s="161">
        <v>0</v>
      </c>
      <c r="BB47" s="128">
        <f>AM18/100</f>
        <v>0</v>
      </c>
      <c r="BC47" s="128">
        <f t="shared" ref="BC47" si="56">AN18/100</f>
        <v>0</v>
      </c>
      <c r="BD47" s="128">
        <f t="shared" ref="BD47" si="57">AO18/100</f>
        <v>0</v>
      </c>
      <c r="BE47" s="128">
        <f t="shared" ref="BE47" si="58">AP18/100</f>
        <v>0</v>
      </c>
      <c r="BF47" s="129">
        <f t="shared" ref="BF47" si="59">AQ18/100</f>
        <v>0</v>
      </c>
      <c r="BI47" s="184" t="s">
        <v>72</v>
      </c>
      <c r="BR47" s="125" t="s">
        <v>78</v>
      </c>
      <c r="BS47" s="126"/>
      <c r="BT47" s="200">
        <v>0</v>
      </c>
      <c r="BU47" s="161">
        <v>0</v>
      </c>
      <c r="BV47" s="161">
        <v>0</v>
      </c>
      <c r="BW47" s="161">
        <v>0</v>
      </c>
      <c r="BX47" s="161">
        <v>0</v>
      </c>
      <c r="BY47" s="161">
        <v>0</v>
      </c>
      <c r="BZ47" s="161">
        <v>0</v>
      </c>
      <c r="CA47" s="161">
        <v>0</v>
      </c>
      <c r="CB47" s="161">
        <v>0</v>
      </c>
      <c r="CC47" s="161">
        <v>0</v>
      </c>
      <c r="CD47" s="161">
        <v>0</v>
      </c>
      <c r="CE47" s="161">
        <v>0</v>
      </c>
      <c r="CF47" s="161">
        <v>0</v>
      </c>
      <c r="CG47" s="161">
        <v>0</v>
      </c>
      <c r="CH47" s="161">
        <v>0</v>
      </c>
      <c r="CI47" s="161">
        <v>0</v>
      </c>
      <c r="CJ47" s="161">
        <v>0</v>
      </c>
      <c r="CK47" s="161">
        <v>0</v>
      </c>
      <c r="CL47" s="161">
        <v>0</v>
      </c>
      <c r="CM47" s="161">
        <v>0</v>
      </c>
      <c r="CN47" s="201">
        <v>0</v>
      </c>
      <c r="CQ47" s="184" t="s">
        <v>72</v>
      </c>
    </row>
    <row r="48" spans="2:95" ht="15.75" customHeight="1" x14ac:dyDescent="0.25">
      <c r="B48" s="67" t="s">
        <v>49</v>
      </c>
      <c r="C48" s="156" t="s">
        <v>8</v>
      </c>
      <c r="D48" s="156"/>
      <c r="E48" s="157">
        <f>E20</f>
        <v>-1002.3052380778997</v>
      </c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3"/>
      <c r="Z48" s="158"/>
      <c r="AA48" s="159"/>
      <c r="AB48" s="142" t="s">
        <v>60</v>
      </c>
      <c r="AI48" s="67" t="s">
        <v>49</v>
      </c>
      <c r="AJ48" s="156" t="s">
        <v>8</v>
      </c>
      <c r="AK48" s="156"/>
      <c r="AL48" s="157">
        <f>E48</f>
        <v>-1002.3052380778997</v>
      </c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3"/>
      <c r="BG48" s="158"/>
      <c r="BH48" s="159"/>
      <c r="BI48" s="142" t="s">
        <v>60</v>
      </c>
      <c r="BQ48" s="67" t="s">
        <v>49</v>
      </c>
      <c r="BR48" s="156" t="s">
        <v>8</v>
      </c>
      <c r="BS48" s="156"/>
      <c r="BT48" s="157">
        <f>AM48</f>
        <v>0</v>
      </c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3"/>
      <c r="CO48" s="158"/>
      <c r="CP48" s="159"/>
      <c r="CQ48" s="193" t="s">
        <v>73</v>
      </c>
    </row>
    <row r="49" spans="2:95" x14ac:dyDescent="0.25">
      <c r="B49" s="68"/>
      <c r="C49" s="53" t="s">
        <v>56</v>
      </c>
      <c r="D49" s="53"/>
      <c r="E49" s="61">
        <v>0</v>
      </c>
      <c r="F49" s="54">
        <f>F21</f>
        <v>586.6916181659451</v>
      </c>
      <c r="G49" s="54">
        <f>G21</f>
        <v>543.23297978328253</v>
      </c>
      <c r="H49" s="54">
        <f>H21</f>
        <v>502.99349979933567</v>
      </c>
      <c r="I49" s="54">
        <f>I21</f>
        <v>465.73472203642189</v>
      </c>
      <c r="J49" s="54">
        <f>J21</f>
        <v>431.23585373742765</v>
      </c>
      <c r="K49" s="54">
        <f>K21</f>
        <v>399.29245716428477</v>
      </c>
      <c r="L49" s="54">
        <f>L21</f>
        <v>369.71523811507853</v>
      </c>
      <c r="M49" s="54">
        <f>M21</f>
        <v>342.32892418062823</v>
      </c>
      <c r="N49" s="54">
        <f>N21</f>
        <v>316.97122609317432</v>
      </c>
      <c r="O49" s="54">
        <f>O21</f>
        <v>293.49187601219842</v>
      </c>
      <c r="P49" s="54">
        <f>P21</f>
        <v>271.75173704833185</v>
      </c>
      <c r="Q49" s="54">
        <f>Q21</f>
        <v>251.62197874845538</v>
      </c>
      <c r="R49" s="54">
        <f>R21</f>
        <v>232.98331365597721</v>
      </c>
      <c r="S49" s="54">
        <f>S21</f>
        <v>215.72529042220111</v>
      </c>
      <c r="T49" s="54">
        <f>T21</f>
        <v>199.7456392798158</v>
      </c>
      <c r="U49" s="54">
        <f>U21</f>
        <v>184.94966599982945</v>
      </c>
      <c r="V49" s="54">
        <f>V21</f>
        <v>171.24969074058285</v>
      </c>
      <c r="W49" s="54">
        <f>W21</f>
        <v>158.5645284635026</v>
      </c>
      <c r="X49" s="54">
        <f>X21</f>
        <v>146.81900783657647</v>
      </c>
      <c r="Y49" s="62">
        <f>Y21</f>
        <v>135.94352577460785</v>
      </c>
      <c r="Z49" s="55">
        <f>SUM(E49:Y49)</f>
        <v>6221.0427730576594</v>
      </c>
      <c r="AA49" s="73">
        <f>SUM(Z49:Z52)</f>
        <v>6105.2517894924222</v>
      </c>
      <c r="AB49" s="143"/>
      <c r="AI49" s="68"/>
      <c r="AJ49" s="53" t="s">
        <v>56</v>
      </c>
      <c r="AK49" s="53"/>
      <c r="AL49" s="61">
        <v>0</v>
      </c>
      <c r="AM49" s="54">
        <f>F49</f>
        <v>586.6916181659451</v>
      </c>
      <c r="AN49" s="54">
        <f t="shared" ref="AN49:BF49" si="60">G49</f>
        <v>543.23297978328253</v>
      </c>
      <c r="AO49" s="54">
        <f t="shared" si="60"/>
        <v>502.99349979933567</v>
      </c>
      <c r="AP49" s="54">
        <f t="shared" si="60"/>
        <v>465.73472203642189</v>
      </c>
      <c r="AQ49" s="54">
        <f t="shared" si="60"/>
        <v>431.23585373742765</v>
      </c>
      <c r="AR49" s="54">
        <f t="shared" si="60"/>
        <v>399.29245716428477</v>
      </c>
      <c r="AS49" s="54">
        <f t="shared" si="60"/>
        <v>369.71523811507853</v>
      </c>
      <c r="AT49" s="54">
        <f t="shared" si="60"/>
        <v>342.32892418062823</v>
      </c>
      <c r="AU49" s="54">
        <f t="shared" si="60"/>
        <v>316.97122609317432</v>
      </c>
      <c r="AV49" s="54">
        <f t="shared" si="60"/>
        <v>293.49187601219842</v>
      </c>
      <c r="AW49" s="54">
        <f t="shared" si="60"/>
        <v>271.75173704833185</v>
      </c>
      <c r="AX49" s="54">
        <f t="shared" si="60"/>
        <v>251.62197874845538</v>
      </c>
      <c r="AY49" s="54">
        <f t="shared" si="60"/>
        <v>232.98331365597721</v>
      </c>
      <c r="AZ49" s="54">
        <f t="shared" si="60"/>
        <v>215.72529042220111</v>
      </c>
      <c r="BA49" s="54">
        <f t="shared" si="60"/>
        <v>199.7456392798158</v>
      </c>
      <c r="BB49" s="54">
        <f t="shared" si="60"/>
        <v>184.94966599982945</v>
      </c>
      <c r="BC49" s="54">
        <f t="shared" si="60"/>
        <v>171.24969074058285</v>
      </c>
      <c r="BD49" s="54">
        <f t="shared" si="60"/>
        <v>158.5645284635026</v>
      </c>
      <c r="BE49" s="54">
        <f t="shared" si="60"/>
        <v>146.81900783657647</v>
      </c>
      <c r="BF49" s="62">
        <f t="shared" si="60"/>
        <v>135.94352577460785</v>
      </c>
      <c r="BG49" s="55">
        <f>SUM(AL49:BF49)</f>
        <v>6221.0427730576594</v>
      </c>
      <c r="BH49" s="73">
        <f>SUM(BG49:BG52)</f>
        <v>6034.1237327026192</v>
      </c>
      <c r="BI49" s="143"/>
      <c r="BQ49" s="68"/>
      <c r="BR49" s="53" t="s">
        <v>56</v>
      </c>
      <c r="BS49" s="53"/>
      <c r="BT49" s="61">
        <v>0</v>
      </c>
      <c r="BU49" s="54">
        <f>AN49</f>
        <v>543.23297978328253</v>
      </c>
      <c r="BV49" s="54">
        <f t="shared" ref="BV49" si="61">AO49</f>
        <v>502.99349979933567</v>
      </c>
      <c r="BW49" s="54">
        <f t="shared" ref="BW49" si="62">AP49</f>
        <v>465.73472203642189</v>
      </c>
      <c r="BX49" s="54">
        <f t="shared" ref="BX49" si="63">AQ49</f>
        <v>431.23585373742765</v>
      </c>
      <c r="BY49" s="54">
        <f t="shared" ref="BY49" si="64">AR49</f>
        <v>399.29245716428477</v>
      </c>
      <c r="BZ49" s="54">
        <f t="shared" ref="BZ49" si="65">AS49</f>
        <v>369.71523811507853</v>
      </c>
      <c r="CA49" s="54">
        <f t="shared" ref="CA49" si="66">AT49</f>
        <v>342.32892418062823</v>
      </c>
      <c r="CB49" s="54">
        <f t="shared" ref="CB49" si="67">AU49</f>
        <v>316.97122609317432</v>
      </c>
      <c r="CC49" s="54">
        <f t="shared" ref="CC49" si="68">AV49</f>
        <v>293.49187601219842</v>
      </c>
      <c r="CD49" s="54">
        <f t="shared" ref="CD49" si="69">AW49</f>
        <v>271.75173704833185</v>
      </c>
      <c r="CE49" s="54">
        <f t="shared" ref="CE49" si="70">AX49</f>
        <v>251.62197874845538</v>
      </c>
      <c r="CF49" s="54">
        <f t="shared" ref="CF49" si="71">AY49</f>
        <v>232.98331365597721</v>
      </c>
      <c r="CG49" s="54">
        <f t="shared" ref="CG49" si="72">AZ49</f>
        <v>215.72529042220111</v>
      </c>
      <c r="CH49" s="54">
        <f t="shared" ref="CH49" si="73">BA49</f>
        <v>199.7456392798158</v>
      </c>
      <c r="CI49" s="54">
        <f t="shared" ref="CI49" si="74">BB49</f>
        <v>184.94966599982945</v>
      </c>
      <c r="CJ49" s="54">
        <f t="shared" ref="CJ49" si="75">BC49</f>
        <v>171.24969074058285</v>
      </c>
      <c r="CK49" s="54">
        <f t="shared" ref="CK49" si="76">BD49</f>
        <v>158.5645284635026</v>
      </c>
      <c r="CL49" s="54">
        <f t="shared" ref="CL49" si="77">BE49</f>
        <v>146.81900783657647</v>
      </c>
      <c r="CM49" s="54">
        <f t="shared" ref="CM49" si="78">BF49</f>
        <v>135.94352577460785</v>
      </c>
      <c r="CN49" s="62">
        <f t="shared" ref="CN49" si="79">BG49</f>
        <v>6221.0427730576594</v>
      </c>
      <c r="CO49" s="55">
        <f>SUM(BT49:CN49)</f>
        <v>11855.393927949373</v>
      </c>
      <c r="CP49" s="73">
        <f>SUM(CO49:CO52)</f>
        <v>11855.393927949373</v>
      </c>
      <c r="CQ49" s="194"/>
    </row>
    <row r="50" spans="2:95" x14ac:dyDescent="0.25">
      <c r="B50" s="68"/>
      <c r="C50" s="53" t="s">
        <v>24</v>
      </c>
      <c r="D50" s="53"/>
      <c r="E50" s="63">
        <v>0</v>
      </c>
      <c r="F50" s="55">
        <f>F48*F32</f>
        <v>0</v>
      </c>
      <c r="G50" s="55">
        <f>G48*G32</f>
        <v>0</v>
      </c>
      <c r="H50" s="55">
        <f>H48*H32</f>
        <v>0</v>
      </c>
      <c r="I50" s="55">
        <f>I48*I32</f>
        <v>0</v>
      </c>
      <c r="J50" s="55">
        <f>J48*J32</f>
        <v>0</v>
      </c>
      <c r="K50" s="55">
        <f>K48*K32</f>
        <v>0</v>
      </c>
      <c r="L50" s="55">
        <f>L48*L32</f>
        <v>0</v>
      </c>
      <c r="M50" s="55">
        <f>M48*M32</f>
        <v>0</v>
      </c>
      <c r="N50" s="55">
        <f>N48*N32</f>
        <v>0</v>
      </c>
      <c r="O50" s="55">
        <f>O48*O32</f>
        <v>0</v>
      </c>
      <c r="P50" s="55">
        <f>P48*P32</f>
        <v>0</v>
      </c>
      <c r="Q50" s="55">
        <f>Q48*Q32</f>
        <v>0</v>
      </c>
      <c r="R50" s="55">
        <f>R48*R32</f>
        <v>0</v>
      </c>
      <c r="S50" s="55">
        <f>S48*S32</f>
        <v>0</v>
      </c>
      <c r="T50" s="55">
        <f>E48*T16*T17</f>
        <v>-236.9763091109395</v>
      </c>
      <c r="U50" s="55">
        <f>U48*U32</f>
        <v>0</v>
      </c>
      <c r="V50" s="55">
        <f>V48*V32</f>
        <v>0</v>
      </c>
      <c r="W50" s="55">
        <f>W48*W32</f>
        <v>0</v>
      </c>
      <c r="X50" s="55">
        <f>X48*X32</f>
        <v>0</v>
      </c>
      <c r="Y50" s="64">
        <f>Y48*Y32</f>
        <v>0</v>
      </c>
      <c r="Z50" s="55">
        <f>SUM(E50:Y50)</f>
        <v>-236.9763091109395</v>
      </c>
      <c r="AA50" s="73"/>
      <c r="AB50" s="143"/>
      <c r="AI50" s="68"/>
      <c r="AJ50" s="53" t="s">
        <v>24</v>
      </c>
      <c r="AK50" s="53"/>
      <c r="AL50" s="63">
        <f>AL48*AL32</f>
        <v>0</v>
      </c>
      <c r="AM50" s="55">
        <f>AM48*AM32</f>
        <v>0</v>
      </c>
      <c r="AN50" s="55">
        <f>AN48*AN32</f>
        <v>0</v>
      </c>
      <c r="AO50" s="55">
        <f>AO48*AO32</f>
        <v>0</v>
      </c>
      <c r="AP50" s="55">
        <f>AP48*AP32</f>
        <v>0</v>
      </c>
      <c r="AQ50" s="55">
        <f>AQ48*AQ32</f>
        <v>0</v>
      </c>
      <c r="AR50" s="55">
        <f>AR48*AR32</f>
        <v>0</v>
      </c>
      <c r="AS50" s="55">
        <f>AS48*AS32</f>
        <v>0</v>
      </c>
      <c r="AT50" s="55">
        <f>AT48*AT32</f>
        <v>0</v>
      </c>
      <c r="AU50" s="55">
        <f>AU48*AU32</f>
        <v>0</v>
      </c>
      <c r="AV50" s="55">
        <f>AV48*AV32</f>
        <v>0</v>
      </c>
      <c r="AW50" s="55">
        <f>AW48*AW32</f>
        <v>0</v>
      </c>
      <c r="AX50" s="55">
        <f>AX48*AX32</f>
        <v>0</v>
      </c>
      <c r="AY50" s="55">
        <f>AY48*AY32</f>
        <v>0</v>
      </c>
      <c r="AZ50" s="55">
        <f>AZ48*AZ32</f>
        <v>0</v>
      </c>
      <c r="BA50" s="55">
        <f>T50</f>
        <v>-236.9763091109395</v>
      </c>
      <c r="BB50" s="55">
        <f>BB48*BB32</f>
        <v>0</v>
      </c>
      <c r="BC50" s="55">
        <f>BC48*BC32</f>
        <v>0</v>
      </c>
      <c r="BD50" s="55">
        <f>BD48*BD32</f>
        <v>0</v>
      </c>
      <c r="BE50" s="55">
        <f>BE48*BE32</f>
        <v>0</v>
      </c>
      <c r="BF50" s="64">
        <f>BF48*BF32</f>
        <v>0</v>
      </c>
      <c r="BG50" s="55">
        <f>SUM(AL50:BF50)</f>
        <v>-236.9763091109395</v>
      </c>
      <c r="BH50" s="73"/>
      <c r="BI50" s="143"/>
      <c r="BQ50" s="68"/>
      <c r="BR50" s="53" t="s">
        <v>24</v>
      </c>
      <c r="BS50" s="53"/>
      <c r="BT50" s="63">
        <f>BT48*BT32</f>
        <v>0</v>
      </c>
      <c r="BU50" s="55">
        <f>BU48*BU32</f>
        <v>0</v>
      </c>
      <c r="BV50" s="55">
        <f>BV48*BV32</f>
        <v>0</v>
      </c>
      <c r="BW50" s="55">
        <f>BW48*BW32</f>
        <v>0</v>
      </c>
      <c r="BX50" s="55">
        <f>BX48*BX32</f>
        <v>0</v>
      </c>
      <c r="BY50" s="55">
        <f>BY48*BY32</f>
        <v>0</v>
      </c>
      <c r="BZ50" s="55">
        <f>BZ48*BZ32</f>
        <v>0</v>
      </c>
      <c r="CA50" s="55">
        <f>CA48*CA32</f>
        <v>0</v>
      </c>
      <c r="CB50" s="55">
        <f>CB48*CB32</f>
        <v>0</v>
      </c>
      <c r="CC50" s="55">
        <f>CC48*CC32</f>
        <v>0</v>
      </c>
      <c r="CD50" s="55">
        <f>CD48*CD32</f>
        <v>0</v>
      </c>
      <c r="CE50" s="55">
        <f>CE48*CE32</f>
        <v>0</v>
      </c>
      <c r="CF50" s="55">
        <f>CF48*CF32</f>
        <v>0</v>
      </c>
      <c r="CG50" s="55">
        <f>CG48*CG32</f>
        <v>0</v>
      </c>
      <c r="CH50" s="55">
        <f>CH48*CH32</f>
        <v>0</v>
      </c>
      <c r="CI50" s="55">
        <f>BB50</f>
        <v>0</v>
      </c>
      <c r="CJ50" s="55">
        <f>CJ48*CJ32</f>
        <v>0</v>
      </c>
      <c r="CK50" s="55">
        <f>CK48*CK32</f>
        <v>0</v>
      </c>
      <c r="CL50" s="55">
        <f>CL48*CL32</f>
        <v>0</v>
      </c>
      <c r="CM50" s="55">
        <f>CM48*CM32</f>
        <v>0</v>
      </c>
      <c r="CN50" s="64">
        <f>CN48*CN32</f>
        <v>0</v>
      </c>
      <c r="CO50" s="55">
        <f>SUM(BT50:CN50)</f>
        <v>0</v>
      </c>
      <c r="CP50" s="73"/>
      <c r="CQ50" s="194"/>
    </row>
    <row r="51" spans="2:95" x14ac:dyDescent="0.25">
      <c r="B51" s="68"/>
      <c r="C51" s="53" t="s">
        <v>52</v>
      </c>
      <c r="D51" s="53"/>
      <c r="E51" s="61">
        <f>-$E$48*E47*E17</f>
        <v>89.505857760356434</v>
      </c>
      <c r="F51" s="54">
        <f>-$E$48*F47*F17</f>
        <v>82.782988181989481</v>
      </c>
      <c r="G51" s="54">
        <f t="shared" ref="G51:Y51" si="80">-$E$48*G47*G17</f>
        <v>76.736846502363193</v>
      </c>
      <c r="H51" s="54">
        <f t="shared" si="80"/>
        <v>35.486534714501666</v>
      </c>
      <c r="I51" s="54">
        <f t="shared" si="80"/>
        <v>0</v>
      </c>
      <c r="J51" s="54">
        <f t="shared" si="80"/>
        <v>0</v>
      </c>
      <c r="K51" s="54">
        <f t="shared" si="80"/>
        <v>0</v>
      </c>
      <c r="L51" s="54">
        <f t="shared" si="80"/>
        <v>0</v>
      </c>
      <c r="M51" s="54">
        <f t="shared" si="80"/>
        <v>0</v>
      </c>
      <c r="N51" s="54">
        <f t="shared" si="80"/>
        <v>0</v>
      </c>
      <c r="O51" s="54">
        <f t="shared" si="80"/>
        <v>0</v>
      </c>
      <c r="P51" s="54">
        <f t="shared" si="80"/>
        <v>0</v>
      </c>
      <c r="Q51" s="54">
        <f t="shared" si="80"/>
        <v>0</v>
      </c>
      <c r="R51" s="54">
        <f t="shared" si="80"/>
        <v>0</v>
      </c>
      <c r="S51" s="54">
        <f t="shared" si="80"/>
        <v>0</v>
      </c>
      <c r="T51" s="54">
        <f t="shared" si="80"/>
        <v>0</v>
      </c>
      <c r="U51" s="54">
        <f t="shared" si="80"/>
        <v>41.807301940683033</v>
      </c>
      <c r="V51" s="54">
        <f t="shared" si="80"/>
        <v>66.34144730369124</v>
      </c>
      <c r="W51" s="54">
        <f t="shared" si="80"/>
        <v>43.869452132448593</v>
      </c>
      <c r="X51" s="54">
        <f t="shared" si="80"/>
        <v>29.007552312129839</v>
      </c>
      <c r="Y51" s="62">
        <f t="shared" si="80"/>
        <v>19.203321334646933</v>
      </c>
      <c r="Z51" s="55">
        <f>SUM(E51:Y51)</f>
        <v>484.7413021828105</v>
      </c>
      <c r="AA51" s="73"/>
      <c r="AB51" s="143"/>
      <c r="AI51" s="68"/>
      <c r="AJ51" s="53" t="s">
        <v>52</v>
      </c>
      <c r="AK51" s="53"/>
      <c r="AL51" s="61">
        <f>-$E$20*AL33/100*AL45</f>
        <v>0</v>
      </c>
      <c r="AM51" s="54">
        <f>-$E$20*AM33/100*AM45</f>
        <v>0</v>
      </c>
      <c r="AN51" s="54">
        <f>-$E$20*AN33/100*AN45</f>
        <v>0</v>
      </c>
      <c r="AO51" s="54">
        <f>-$E$20*AO33/100*AO45</f>
        <v>0</v>
      </c>
      <c r="AP51" s="54">
        <f>-$E$20*AP33/100*AP45</f>
        <v>0</v>
      </c>
      <c r="AQ51" s="54">
        <f>-$E$20*AQ33/100*AQ45</f>
        <v>0</v>
      </c>
      <c r="AR51" s="54">
        <f>-$E$20*AR33/100*AR45</f>
        <v>0</v>
      </c>
      <c r="AS51" s="54">
        <f>-$E$20*AS33/100*AS45</f>
        <v>0</v>
      </c>
      <c r="AT51" s="54">
        <f>-$E$20*AT33/100*AT45</f>
        <v>0</v>
      </c>
      <c r="AU51" s="54">
        <f>-$E$20*AU33/100*AU45</f>
        <v>0</v>
      </c>
      <c r="AV51" s="54">
        <f>-$E$20*AV33/100*AV45</f>
        <v>0</v>
      </c>
      <c r="AW51" s="54">
        <f>-$E$20*AW33/100*AW45</f>
        <v>0</v>
      </c>
      <c r="AX51" s="54">
        <f>-$E$20*AX33/100*AX45</f>
        <v>0</v>
      </c>
      <c r="AY51" s="54">
        <f>-$E$20*AY33/100*AY45</f>
        <v>0</v>
      </c>
      <c r="AZ51" s="54">
        <f>-$E$20*AZ33/100*AZ45</f>
        <v>0</v>
      </c>
      <c r="BA51" s="54">
        <f>-$E$20*BA33/100*BA45</f>
        <v>0</v>
      </c>
      <c r="BB51" s="54">
        <f>U51</f>
        <v>41.807301940683033</v>
      </c>
      <c r="BC51" s="54">
        <f t="shared" ref="BC51:BF52" si="81">V51</f>
        <v>66.34144730369124</v>
      </c>
      <c r="BD51" s="54">
        <f t="shared" si="81"/>
        <v>43.869452132448593</v>
      </c>
      <c r="BE51" s="54">
        <f t="shared" si="81"/>
        <v>29.007552312129839</v>
      </c>
      <c r="BF51" s="62">
        <f t="shared" si="81"/>
        <v>19.203321334646933</v>
      </c>
      <c r="BG51" s="55">
        <f>SUM(AL51:BF51)</f>
        <v>200.22907502359965</v>
      </c>
      <c r="BH51" s="73"/>
      <c r="BI51" s="143"/>
      <c r="BQ51" s="68"/>
      <c r="BR51" s="53" t="s">
        <v>52</v>
      </c>
      <c r="BS51" s="53"/>
      <c r="BT51" s="61">
        <f>-$E$20*BT33/100*BT45</f>
        <v>0</v>
      </c>
      <c r="BU51" s="54">
        <f>-$E$20*BU33/100*BU45</f>
        <v>0</v>
      </c>
      <c r="BV51" s="54">
        <f>-$E$20*BV33/100*BV45</f>
        <v>0</v>
      </c>
      <c r="BW51" s="54">
        <f>-$E$20*BW33/100*BW45</f>
        <v>0</v>
      </c>
      <c r="BX51" s="54">
        <f>-$E$20*BX33/100*BX45</f>
        <v>0</v>
      </c>
      <c r="BY51" s="54">
        <f>-$E$20*BY33/100*BY45</f>
        <v>0</v>
      </c>
      <c r="BZ51" s="54">
        <f>-$E$20*BZ33/100*BZ45</f>
        <v>0</v>
      </c>
      <c r="CA51" s="54">
        <f>-$E$20*CA33/100*CA45</f>
        <v>0</v>
      </c>
      <c r="CB51" s="54">
        <f>-$E$20*CB33/100*CB45</f>
        <v>0</v>
      </c>
      <c r="CC51" s="54">
        <f>-$E$20*CC33/100*CC45</f>
        <v>0</v>
      </c>
      <c r="CD51" s="54">
        <f>-$E$20*CD33/100*CD45</f>
        <v>0</v>
      </c>
      <c r="CE51" s="54">
        <f>-$E$20*CE33/100*CE45</f>
        <v>0</v>
      </c>
      <c r="CF51" s="54">
        <f>-$E$20*CF33/100*CF45</f>
        <v>0</v>
      </c>
      <c r="CG51" s="54">
        <f>-$E$20*CG33/100*CG45</f>
        <v>0</v>
      </c>
      <c r="CH51" s="54">
        <f>-$E$20*CH33/100*CH45</f>
        <v>0</v>
      </c>
      <c r="CI51" s="54">
        <f>-$E$20*CI33/100*CI45</f>
        <v>0</v>
      </c>
      <c r="CJ51" s="54">
        <f t="shared" ref="CJ51:CN51" si="82">-$E$20*CJ33/100*CJ45</f>
        <v>0</v>
      </c>
      <c r="CK51" s="54">
        <f t="shared" si="82"/>
        <v>0</v>
      </c>
      <c r="CL51" s="54">
        <f t="shared" si="82"/>
        <v>0</v>
      </c>
      <c r="CM51" s="54">
        <f t="shared" si="82"/>
        <v>0</v>
      </c>
      <c r="CN51" s="62">
        <f t="shared" si="82"/>
        <v>0</v>
      </c>
      <c r="CO51" s="55">
        <f>SUM(BT51:CN51)</f>
        <v>0</v>
      </c>
      <c r="CP51" s="73"/>
      <c r="CQ51" s="194"/>
    </row>
    <row r="52" spans="2:95" ht="16.5" thickBot="1" x14ac:dyDescent="0.3">
      <c r="B52" s="69"/>
      <c r="C52" s="56" t="s">
        <v>53</v>
      </c>
      <c r="D52" s="56"/>
      <c r="E52" s="65">
        <f>-E51*E16</f>
        <v>-67.129393320267326</v>
      </c>
      <c r="F52" s="57">
        <f>-F51*F16</f>
        <v>-62.087241136492111</v>
      </c>
      <c r="G52" s="57">
        <f t="shared" ref="G52:Y52" si="83">-G51*G16</f>
        <v>-57.552634876772395</v>
      </c>
      <c r="H52" s="57">
        <f t="shared" si="83"/>
        <v>-26.614901035876251</v>
      </c>
      <c r="I52" s="57">
        <f t="shared" si="83"/>
        <v>0</v>
      </c>
      <c r="J52" s="57">
        <f t="shared" si="83"/>
        <v>0</v>
      </c>
      <c r="K52" s="57">
        <f t="shared" si="83"/>
        <v>0</v>
      </c>
      <c r="L52" s="57">
        <f t="shared" si="83"/>
        <v>0</v>
      </c>
      <c r="M52" s="57">
        <f t="shared" si="83"/>
        <v>0</v>
      </c>
      <c r="N52" s="57">
        <f t="shared" si="83"/>
        <v>0</v>
      </c>
      <c r="O52" s="57">
        <f t="shared" si="83"/>
        <v>0</v>
      </c>
      <c r="P52" s="57">
        <f t="shared" si="83"/>
        <v>0</v>
      </c>
      <c r="Q52" s="57">
        <f t="shared" si="83"/>
        <v>0</v>
      </c>
      <c r="R52" s="57">
        <f t="shared" si="83"/>
        <v>0</v>
      </c>
      <c r="S52" s="57">
        <f t="shared" si="83"/>
        <v>0</v>
      </c>
      <c r="T52" s="57">
        <f t="shared" si="83"/>
        <v>0</v>
      </c>
      <c r="U52" s="57">
        <f t="shared" si="83"/>
        <v>-31.355476455512274</v>
      </c>
      <c r="V52" s="57">
        <f t="shared" si="83"/>
        <v>-49.75608547776843</v>
      </c>
      <c r="W52" s="57">
        <f t="shared" si="83"/>
        <v>-32.902089099336443</v>
      </c>
      <c r="X52" s="57">
        <f t="shared" si="83"/>
        <v>-21.755664234097381</v>
      </c>
      <c r="Y52" s="66">
        <f t="shared" si="83"/>
        <v>-14.402491000985201</v>
      </c>
      <c r="Z52" s="58">
        <f>SUM(E52:Y52)</f>
        <v>-363.55597663710779</v>
      </c>
      <c r="AA52" s="74"/>
      <c r="AB52" s="143"/>
      <c r="AI52" s="69"/>
      <c r="AJ52" s="56" t="s">
        <v>53</v>
      </c>
      <c r="AK52" s="56"/>
      <c r="AL52" s="65">
        <f>AL45*AL33/100*$E$22</f>
        <v>0</v>
      </c>
      <c r="AM52" s="57">
        <f>AM45*AM33/100*$E$22</f>
        <v>0</v>
      </c>
      <c r="AN52" s="57">
        <f>AN45*AN33/100*$E$22</f>
        <v>0</v>
      </c>
      <c r="AO52" s="57">
        <f>AO45*AO33/100*$E$22</f>
        <v>0</v>
      </c>
      <c r="AP52" s="57">
        <f>AP45*AP33/100*$E$22</f>
        <v>0</v>
      </c>
      <c r="AQ52" s="57">
        <f>AQ45*AQ33/100*$E$22</f>
        <v>0</v>
      </c>
      <c r="AR52" s="57">
        <f>AR45*AR33/100*$E$22</f>
        <v>0</v>
      </c>
      <c r="AS52" s="57">
        <f>AS45*AS33/100*$E$22</f>
        <v>0</v>
      </c>
      <c r="AT52" s="57">
        <f>AT45*AT33/100*$E$22</f>
        <v>0</v>
      </c>
      <c r="AU52" s="57">
        <f>AU45*AU33/100*$E$22</f>
        <v>0</v>
      </c>
      <c r="AV52" s="57">
        <f>AV45*AV33/100*$E$22</f>
        <v>0</v>
      </c>
      <c r="AW52" s="57">
        <f>AW45*AW33/100*$E$22</f>
        <v>0</v>
      </c>
      <c r="AX52" s="57">
        <f>AX45*AX33/100*$E$22</f>
        <v>0</v>
      </c>
      <c r="AY52" s="57">
        <f>AY45*AY33/100*$E$22</f>
        <v>0</v>
      </c>
      <c r="AZ52" s="57">
        <f>AZ45*AZ33/100*$E$22</f>
        <v>0</v>
      </c>
      <c r="BA52" s="57">
        <f>BA45*BA33/100*$E$22</f>
        <v>0</v>
      </c>
      <c r="BB52" s="57">
        <f t="shared" ref="BB52:BB57" si="84">U52</f>
        <v>-31.355476455512274</v>
      </c>
      <c r="BC52" s="57">
        <f t="shared" si="81"/>
        <v>-49.75608547776843</v>
      </c>
      <c r="BD52" s="57">
        <f t="shared" si="81"/>
        <v>-32.902089099336443</v>
      </c>
      <c r="BE52" s="57">
        <f t="shared" si="81"/>
        <v>-21.755664234097381</v>
      </c>
      <c r="BF52" s="66">
        <f t="shared" si="81"/>
        <v>-14.402491000985201</v>
      </c>
      <c r="BG52" s="58">
        <f>SUM(AL52:BF52)</f>
        <v>-150.17180626769976</v>
      </c>
      <c r="BH52" s="74"/>
      <c r="BI52" s="143"/>
      <c r="BQ52" s="69"/>
      <c r="BR52" s="56" t="s">
        <v>53</v>
      </c>
      <c r="BS52" s="56"/>
      <c r="BT52" s="65">
        <f>BT45*BT33/100*$E$22</f>
        <v>0</v>
      </c>
      <c r="BU52" s="57">
        <f>BU45*BU33/100*$E$22</f>
        <v>0</v>
      </c>
      <c r="BV52" s="57">
        <f>BV45*BV33/100*$E$22</f>
        <v>0</v>
      </c>
      <c r="BW52" s="57">
        <f>BW45*BW33/100*$E$22</f>
        <v>0</v>
      </c>
      <c r="BX52" s="57">
        <f>BX45*BX33/100*$E$22</f>
        <v>0</v>
      </c>
      <c r="BY52" s="57">
        <f>BY45*BY33/100*$E$22</f>
        <v>0</v>
      </c>
      <c r="BZ52" s="57">
        <f>BZ45*BZ33/100*$E$22</f>
        <v>0</v>
      </c>
      <c r="CA52" s="57">
        <f>CA45*CA33/100*$E$22</f>
        <v>0</v>
      </c>
      <c r="CB52" s="57">
        <f>CB45*CB33/100*$E$22</f>
        <v>0</v>
      </c>
      <c r="CC52" s="57">
        <f>CC45*CC33/100*$E$22</f>
        <v>0</v>
      </c>
      <c r="CD52" s="57">
        <f>CD45*CD33/100*$E$22</f>
        <v>0</v>
      </c>
      <c r="CE52" s="57">
        <f>CE45*CE33/100*$E$22</f>
        <v>0</v>
      </c>
      <c r="CF52" s="57">
        <f>CF45*CF33/100*$E$22</f>
        <v>0</v>
      </c>
      <c r="CG52" s="57">
        <f>CG45*CG33/100*$E$22</f>
        <v>0</v>
      </c>
      <c r="CH52" s="57">
        <f>CH45*CH33/100*$E$22</f>
        <v>0</v>
      </c>
      <c r="CI52" s="57">
        <f>CI45*CI33/100*$E$22</f>
        <v>0</v>
      </c>
      <c r="CJ52" s="57">
        <f t="shared" ref="CJ52:CN52" si="85">CJ45*CJ33/100*$E$22</f>
        <v>0</v>
      </c>
      <c r="CK52" s="57">
        <f t="shared" si="85"/>
        <v>0</v>
      </c>
      <c r="CL52" s="57">
        <f t="shared" si="85"/>
        <v>0</v>
      </c>
      <c r="CM52" s="57">
        <f t="shared" si="85"/>
        <v>0</v>
      </c>
      <c r="CN52" s="66">
        <f t="shared" si="85"/>
        <v>0</v>
      </c>
      <c r="CO52" s="58">
        <f>SUM(BT52:CN52)</f>
        <v>0</v>
      </c>
      <c r="CP52" s="74"/>
      <c r="CQ52" s="194"/>
    </row>
    <row r="53" spans="2:95" ht="15.75" customHeight="1" x14ac:dyDescent="0.25">
      <c r="B53" s="67" t="s">
        <v>50</v>
      </c>
      <c r="C53" s="156" t="s">
        <v>8</v>
      </c>
      <c r="D53" s="156"/>
      <c r="E53" s="157">
        <f>E25</f>
        <v>-2003.2214675054588</v>
      </c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5"/>
      <c r="Z53" s="158"/>
      <c r="AA53" s="159"/>
      <c r="AB53" s="143"/>
      <c r="AI53" s="67" t="s">
        <v>50</v>
      </c>
      <c r="AJ53" s="156" t="s">
        <v>8</v>
      </c>
      <c r="AK53" s="156"/>
      <c r="AL53" s="157">
        <f>E53</f>
        <v>-2003.2214675054588</v>
      </c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3"/>
      <c r="BG53" s="158"/>
      <c r="BH53" s="159"/>
      <c r="BI53" s="143"/>
      <c r="BQ53" s="67" t="s">
        <v>50</v>
      </c>
      <c r="BR53" s="156" t="s">
        <v>8</v>
      </c>
      <c r="BS53" s="156"/>
      <c r="BT53" s="157">
        <f>AM53</f>
        <v>0</v>
      </c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3"/>
      <c r="CO53" s="158"/>
      <c r="CP53" s="159"/>
      <c r="CQ53" s="194"/>
    </row>
    <row r="54" spans="2:95" x14ac:dyDescent="0.25">
      <c r="B54" s="68"/>
      <c r="C54" s="53" t="s">
        <v>56</v>
      </c>
      <c r="D54" s="53"/>
      <c r="E54" s="61">
        <v>0</v>
      </c>
      <c r="F54" s="54">
        <f>F26</f>
        <v>1173.3960975230971</v>
      </c>
      <c r="G54" s="54">
        <f>G26</f>
        <v>1086.4778680769418</v>
      </c>
      <c r="H54" s="54">
        <f>H26</f>
        <v>1005.9980259971683</v>
      </c>
      <c r="I54" s="54">
        <f>I26</f>
        <v>931.47965370108159</v>
      </c>
      <c r="J54" s="54">
        <f>J26</f>
        <v>862.4811608343349</v>
      </c>
      <c r="K54" s="54">
        <f>K26</f>
        <v>798.59366743919873</v>
      </c>
      <c r="L54" s="54">
        <f>L26</f>
        <v>739.43858096222118</v>
      </c>
      <c r="M54" s="54">
        <f>M26</f>
        <v>684.66535274279727</v>
      </c>
      <c r="N54" s="54">
        <f>N26</f>
        <v>633.94940068777532</v>
      </c>
      <c r="O54" s="54">
        <f>O26</f>
        <v>586.99018582201404</v>
      </c>
      <c r="P54" s="54">
        <f>P26</f>
        <v>543.50943131667975</v>
      </c>
      <c r="Q54" s="54">
        <f>Q26</f>
        <v>503.24947344137001</v>
      </c>
      <c r="R54" s="54">
        <f>R26</f>
        <v>465.97173466793521</v>
      </c>
      <c r="S54" s="54">
        <f>S26</f>
        <v>431.45530987771775</v>
      </c>
      <c r="T54" s="54">
        <f>T26</f>
        <v>399.49565729418305</v>
      </c>
      <c r="U54" s="54">
        <f>U26</f>
        <v>369.90338638350283</v>
      </c>
      <c r="V54" s="54">
        <f>V26</f>
        <v>342.50313554028043</v>
      </c>
      <c r="W54" s="54">
        <f>W26</f>
        <v>317.13253290766698</v>
      </c>
      <c r="X54" s="54">
        <f>X26</f>
        <v>293.64123417376572</v>
      </c>
      <c r="Y54" s="62">
        <f>Y26</f>
        <v>271.89003164237567</v>
      </c>
      <c r="Z54" s="55">
        <f>SUM(E54:Y54)</f>
        <v>12442.221921032105</v>
      </c>
      <c r="AA54" s="73">
        <f>SUM(Z54:Z57)</f>
        <v>12210.800418669942</v>
      </c>
      <c r="AB54" s="143"/>
      <c r="AI54" s="68"/>
      <c r="AJ54" s="53" t="s">
        <v>56</v>
      </c>
      <c r="AK54" s="53"/>
      <c r="AL54" s="61">
        <v>0</v>
      </c>
      <c r="AM54" s="54">
        <f>F54</f>
        <v>1173.3960975230971</v>
      </c>
      <c r="AN54" s="54">
        <f t="shared" ref="AN54:BF54" si="86">G54</f>
        <v>1086.4778680769418</v>
      </c>
      <c r="AO54" s="54">
        <f t="shared" si="86"/>
        <v>1005.9980259971683</v>
      </c>
      <c r="AP54" s="54">
        <f t="shared" si="86"/>
        <v>931.47965370108159</v>
      </c>
      <c r="AQ54" s="54">
        <f t="shared" si="86"/>
        <v>862.4811608343349</v>
      </c>
      <c r="AR54" s="54">
        <f t="shared" si="86"/>
        <v>798.59366743919873</v>
      </c>
      <c r="AS54" s="54">
        <f t="shared" si="86"/>
        <v>739.43858096222118</v>
      </c>
      <c r="AT54" s="54">
        <f t="shared" si="86"/>
        <v>684.66535274279727</v>
      </c>
      <c r="AU54" s="54">
        <f t="shared" si="86"/>
        <v>633.94940068777532</v>
      </c>
      <c r="AV54" s="54">
        <f t="shared" si="86"/>
        <v>586.99018582201404</v>
      </c>
      <c r="AW54" s="54">
        <f t="shared" si="86"/>
        <v>543.50943131667975</v>
      </c>
      <c r="AX54" s="54">
        <f t="shared" si="86"/>
        <v>503.24947344137001</v>
      </c>
      <c r="AY54" s="54">
        <f t="shared" si="86"/>
        <v>465.97173466793521</v>
      </c>
      <c r="AZ54" s="54">
        <f t="shared" si="86"/>
        <v>431.45530987771775</v>
      </c>
      <c r="BA54" s="54">
        <f t="shared" si="86"/>
        <v>399.49565729418305</v>
      </c>
      <c r="BB54" s="54">
        <f t="shared" si="84"/>
        <v>369.90338638350283</v>
      </c>
      <c r="BC54" s="54">
        <f t="shared" si="86"/>
        <v>342.50313554028043</v>
      </c>
      <c r="BD54" s="54">
        <f t="shared" si="86"/>
        <v>317.13253290766698</v>
      </c>
      <c r="BE54" s="54">
        <f t="shared" si="86"/>
        <v>293.64123417376572</v>
      </c>
      <c r="BF54" s="62">
        <f t="shared" si="86"/>
        <v>271.89003164237567</v>
      </c>
      <c r="BG54" s="55">
        <f>SUM(AL54:BF54)</f>
        <v>12442.221921032105</v>
      </c>
      <c r="BH54" s="73">
        <f>SUM(BG54:BG57)</f>
        <v>12068.642875348587</v>
      </c>
      <c r="BI54" s="143"/>
      <c r="BQ54" s="68"/>
      <c r="BR54" s="53" t="s">
        <v>56</v>
      </c>
      <c r="BS54" s="53"/>
      <c r="BT54" s="61">
        <v>0</v>
      </c>
      <c r="BU54" s="54">
        <f>AN54</f>
        <v>1086.4778680769418</v>
      </c>
      <c r="BV54" s="54">
        <f t="shared" ref="BV54" si="87">AO54</f>
        <v>1005.9980259971683</v>
      </c>
      <c r="BW54" s="54">
        <f t="shared" ref="BW54" si="88">AP54</f>
        <v>931.47965370108159</v>
      </c>
      <c r="BX54" s="54">
        <f t="shared" ref="BX54" si="89">AQ54</f>
        <v>862.4811608343349</v>
      </c>
      <c r="BY54" s="54">
        <f t="shared" ref="BY54" si="90">AR54</f>
        <v>798.59366743919873</v>
      </c>
      <c r="BZ54" s="54">
        <f t="shared" ref="BZ54" si="91">AS54</f>
        <v>739.43858096222118</v>
      </c>
      <c r="CA54" s="54">
        <f t="shared" ref="CA54" si="92">AT54</f>
        <v>684.66535274279727</v>
      </c>
      <c r="CB54" s="54">
        <f t="shared" ref="CB54" si="93">AU54</f>
        <v>633.94940068777532</v>
      </c>
      <c r="CC54" s="54">
        <f t="shared" ref="CC54" si="94">AV54</f>
        <v>586.99018582201404</v>
      </c>
      <c r="CD54" s="54">
        <f t="shared" ref="CD54" si="95">AW54</f>
        <v>543.50943131667975</v>
      </c>
      <c r="CE54" s="54">
        <f t="shared" ref="CE54" si="96">AX54</f>
        <v>503.24947344137001</v>
      </c>
      <c r="CF54" s="54">
        <f t="shared" ref="CF54" si="97">AY54</f>
        <v>465.97173466793521</v>
      </c>
      <c r="CG54" s="54">
        <f t="shared" ref="CG54" si="98">AZ54</f>
        <v>431.45530987771775</v>
      </c>
      <c r="CH54" s="54">
        <f t="shared" ref="CH54" si="99">BA54</f>
        <v>399.49565729418305</v>
      </c>
      <c r="CI54" s="54">
        <f t="shared" ref="CI54" si="100">BB54</f>
        <v>369.90338638350283</v>
      </c>
      <c r="CJ54" s="54">
        <f t="shared" ref="CJ54:CJ55" si="101">BC54</f>
        <v>342.50313554028043</v>
      </c>
      <c r="CK54" s="54">
        <f t="shared" ref="CK54" si="102">BD54</f>
        <v>317.13253290766698</v>
      </c>
      <c r="CL54" s="54">
        <f t="shared" ref="CL54" si="103">BE54</f>
        <v>293.64123417376572</v>
      </c>
      <c r="CM54" s="54">
        <f t="shared" ref="CM54" si="104">BF54</f>
        <v>271.89003164237567</v>
      </c>
      <c r="CN54" s="62">
        <f t="shared" ref="CN54" si="105">BG54</f>
        <v>12442.221921032105</v>
      </c>
      <c r="CO54" s="55">
        <f>SUM(BT54:CN54)</f>
        <v>23711.047744541116</v>
      </c>
      <c r="CP54" s="73">
        <f>SUM(CO54:CO57)</f>
        <v>23711.047744541116</v>
      </c>
      <c r="CQ54" s="194"/>
    </row>
    <row r="55" spans="2:95" x14ac:dyDescent="0.25">
      <c r="B55" s="68"/>
      <c r="C55" s="53" t="s">
        <v>24</v>
      </c>
      <c r="D55" s="53"/>
      <c r="E55" s="61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4">
        <v>0</v>
      </c>
      <c r="Q55" s="54">
        <v>0</v>
      </c>
      <c r="R55" s="54">
        <v>0</v>
      </c>
      <c r="S55" s="54">
        <v>0</v>
      </c>
      <c r="T55" s="54">
        <f>E53*T16*T17</f>
        <v>-473.62421313051971</v>
      </c>
      <c r="U55" s="54">
        <v>0</v>
      </c>
      <c r="V55" s="54">
        <v>0</v>
      </c>
      <c r="W55" s="54">
        <v>0</v>
      </c>
      <c r="X55" s="54">
        <v>0</v>
      </c>
      <c r="Y55" s="62">
        <v>0</v>
      </c>
      <c r="Z55" s="55">
        <f>SUM(E55:Y55)</f>
        <v>-473.62421313051971</v>
      </c>
      <c r="AA55" s="73"/>
      <c r="AB55" s="143"/>
      <c r="AI55" s="68"/>
      <c r="AJ55" s="53" t="s">
        <v>24</v>
      </c>
      <c r="AK55" s="53"/>
      <c r="AL55" s="61">
        <f>AL53*AL32</f>
        <v>0</v>
      </c>
      <c r="AM55" s="54">
        <v>0</v>
      </c>
      <c r="AN55" s="54">
        <v>0</v>
      </c>
      <c r="AO55" s="54">
        <v>0</v>
      </c>
      <c r="AP55" s="54">
        <v>0</v>
      </c>
      <c r="AQ55" s="54">
        <v>0</v>
      </c>
      <c r="AR55" s="54">
        <v>0</v>
      </c>
      <c r="AS55" s="54">
        <v>0</v>
      </c>
      <c r="AT55" s="54">
        <v>0</v>
      </c>
      <c r="AU55" s="54">
        <v>0</v>
      </c>
      <c r="AV55" s="54">
        <v>0</v>
      </c>
      <c r="AW55" s="54">
        <v>0</v>
      </c>
      <c r="AX55" s="54">
        <v>0</v>
      </c>
      <c r="AY55" s="54">
        <v>0</v>
      </c>
      <c r="AZ55" s="54">
        <v>0</v>
      </c>
      <c r="BA55" s="55">
        <f>T55</f>
        <v>-473.62421313051971</v>
      </c>
      <c r="BB55" s="55">
        <f t="shared" si="84"/>
        <v>0</v>
      </c>
      <c r="BC55" s="55">
        <v>0</v>
      </c>
      <c r="BD55" s="55">
        <v>0</v>
      </c>
      <c r="BE55" s="55">
        <v>0</v>
      </c>
      <c r="BF55" s="64">
        <v>0</v>
      </c>
      <c r="BG55" s="55">
        <f>SUM(AL55:BF55)</f>
        <v>-473.62421313051971</v>
      </c>
      <c r="BH55" s="73"/>
      <c r="BI55" s="143"/>
      <c r="BQ55" s="68"/>
      <c r="BR55" s="53" t="s">
        <v>24</v>
      </c>
      <c r="BS55" s="53"/>
      <c r="BT55" s="61">
        <f>BT53*BT32</f>
        <v>0</v>
      </c>
      <c r="BU55" s="54">
        <v>0</v>
      </c>
      <c r="BV55" s="54">
        <v>0</v>
      </c>
      <c r="BW55" s="54">
        <v>0</v>
      </c>
      <c r="BX55" s="54">
        <v>0</v>
      </c>
      <c r="BY55" s="54">
        <v>0</v>
      </c>
      <c r="BZ55" s="54">
        <v>0</v>
      </c>
      <c r="CA55" s="54">
        <v>0</v>
      </c>
      <c r="CB55" s="54">
        <v>0</v>
      </c>
      <c r="CC55" s="54">
        <v>0</v>
      </c>
      <c r="CD55" s="54">
        <v>0</v>
      </c>
      <c r="CE55" s="54">
        <v>0</v>
      </c>
      <c r="CF55" s="54">
        <v>0</v>
      </c>
      <c r="CG55" s="54">
        <v>0</v>
      </c>
      <c r="CH55" s="54">
        <v>0</v>
      </c>
      <c r="CI55" s="55">
        <f>BB55</f>
        <v>0</v>
      </c>
      <c r="CJ55" s="55">
        <f t="shared" si="101"/>
        <v>0</v>
      </c>
      <c r="CK55" s="55">
        <v>0</v>
      </c>
      <c r="CL55" s="55">
        <v>0</v>
      </c>
      <c r="CM55" s="55">
        <v>0</v>
      </c>
      <c r="CN55" s="64">
        <v>0</v>
      </c>
      <c r="CO55" s="55">
        <f>SUM(BT55:CN55)</f>
        <v>0</v>
      </c>
      <c r="CP55" s="73"/>
      <c r="CQ55" s="194"/>
    </row>
    <row r="56" spans="2:95" x14ac:dyDescent="0.25">
      <c r="B56" s="68"/>
      <c r="C56" s="53" t="s">
        <v>52</v>
      </c>
      <c r="D56" s="53"/>
      <c r="E56" s="63">
        <f>-$E$53*E47*E17</f>
        <v>178.88767704823746</v>
      </c>
      <c r="F56" s="55">
        <f>-$E$53*F47*F17</f>
        <v>165.45125453841382</v>
      </c>
      <c r="G56" s="55">
        <f t="shared" ref="G56:Y56" si="106">-$E$53*G47*G17</f>
        <v>153.3673500070623</v>
      </c>
      <c r="H56" s="55">
        <f t="shared" si="106"/>
        <v>70.923891691706885</v>
      </c>
      <c r="I56" s="55">
        <f t="shared" si="106"/>
        <v>0</v>
      </c>
      <c r="J56" s="55">
        <f t="shared" si="106"/>
        <v>0</v>
      </c>
      <c r="K56" s="55">
        <f t="shared" si="106"/>
        <v>0</v>
      </c>
      <c r="L56" s="55">
        <f t="shared" si="106"/>
        <v>0</v>
      </c>
      <c r="M56" s="55">
        <f t="shared" si="106"/>
        <v>0</v>
      </c>
      <c r="N56" s="55">
        <f t="shared" si="106"/>
        <v>0</v>
      </c>
      <c r="O56" s="55">
        <f t="shared" si="106"/>
        <v>0</v>
      </c>
      <c r="P56" s="55">
        <f t="shared" si="106"/>
        <v>0</v>
      </c>
      <c r="Q56" s="55">
        <f t="shared" si="106"/>
        <v>0</v>
      </c>
      <c r="R56" s="55">
        <f t="shared" si="106"/>
        <v>0</v>
      </c>
      <c r="S56" s="55">
        <f t="shared" si="106"/>
        <v>0</v>
      </c>
      <c r="T56" s="55">
        <f t="shared" si="106"/>
        <v>0</v>
      </c>
      <c r="U56" s="55">
        <f t="shared" si="106"/>
        <v>83.556666736236139</v>
      </c>
      <c r="V56" s="55">
        <f t="shared" si="106"/>
        <v>132.59095769966194</v>
      </c>
      <c r="W56" s="55">
        <f t="shared" si="106"/>
        <v>87.678109363122019</v>
      </c>
      <c r="X56" s="55">
        <f t="shared" si="106"/>
        <v>57.9749055516059</v>
      </c>
      <c r="Y56" s="64">
        <f t="shared" si="106"/>
        <v>38.380030437375133</v>
      </c>
      <c r="Z56" s="55">
        <f>SUM(E56:Y56)</f>
        <v>968.81084307342167</v>
      </c>
      <c r="AA56" s="73"/>
      <c r="AB56" s="143"/>
      <c r="AI56" s="68"/>
      <c r="AJ56" s="53" t="s">
        <v>52</v>
      </c>
      <c r="AK56" s="53"/>
      <c r="AL56" s="63">
        <f>-$E$25*AL33*AL45/100</f>
        <v>0</v>
      </c>
      <c r="AM56" s="55">
        <f>-$E$25*AM33*AM45/100</f>
        <v>0</v>
      </c>
      <c r="AN56" s="55">
        <f>-$E$25*AN33*AN45/100</f>
        <v>0</v>
      </c>
      <c r="AO56" s="55">
        <f>-$E$25*AO33*AO45/100</f>
        <v>0</v>
      </c>
      <c r="AP56" s="55">
        <f>-$E$25*AP33*AP45/100</f>
        <v>0</v>
      </c>
      <c r="AQ56" s="55">
        <f>-$E$25*AQ33*AQ45/100</f>
        <v>0</v>
      </c>
      <c r="AR56" s="55">
        <f>-$E$25*AR33*AR45/100</f>
        <v>0</v>
      </c>
      <c r="AS56" s="55">
        <f>-$E$25*AS33*AS45/100</f>
        <v>0</v>
      </c>
      <c r="AT56" s="55">
        <f>-$E$25*AT33*AT45/100</f>
        <v>0</v>
      </c>
      <c r="AU56" s="55">
        <f>-$E$25*AU33*AU45/100</f>
        <v>0</v>
      </c>
      <c r="AV56" s="55">
        <f>-$E$25*AV33*AV45/100</f>
        <v>0</v>
      </c>
      <c r="AW56" s="55">
        <f>-$E$25*AW33*AW45/100</f>
        <v>0</v>
      </c>
      <c r="AX56" s="55">
        <f>-$E$25*AX33*AX45/100</f>
        <v>0</v>
      </c>
      <c r="AY56" s="55">
        <f>-$E$25*AY33*AY45/100</f>
        <v>0</v>
      </c>
      <c r="AZ56" s="55">
        <f>-$E$25*AZ33*AZ45/100</f>
        <v>0</v>
      </c>
      <c r="BA56" s="54">
        <f>-$E$25*BA33*BA45/100</f>
        <v>0</v>
      </c>
      <c r="BB56" s="54">
        <f t="shared" si="84"/>
        <v>83.556666736236139</v>
      </c>
      <c r="BC56" s="54">
        <f t="shared" ref="BC56:BC57" si="107">V56</f>
        <v>132.59095769966194</v>
      </c>
      <c r="BD56" s="54">
        <f t="shared" ref="BD56:BD57" si="108">W56</f>
        <v>87.678109363122019</v>
      </c>
      <c r="BE56" s="54">
        <f t="shared" ref="BE56:BE57" si="109">X56</f>
        <v>57.9749055516059</v>
      </c>
      <c r="BF56" s="62">
        <f t="shared" ref="BF56:BF57" si="110">Y56</f>
        <v>38.380030437375133</v>
      </c>
      <c r="BG56" s="55">
        <f>SUM(AL56:BF56)</f>
        <v>400.18066978800113</v>
      </c>
      <c r="BH56" s="73"/>
      <c r="BI56" s="143"/>
      <c r="BQ56" s="68"/>
      <c r="BR56" s="53" t="s">
        <v>52</v>
      </c>
      <c r="BS56" s="53"/>
      <c r="BT56" s="63">
        <f>-$E$25*BT33*BT45/100</f>
        <v>0</v>
      </c>
      <c r="BU56" s="55">
        <f>-$E$25*BU33*BU45/100</f>
        <v>0</v>
      </c>
      <c r="BV56" s="55">
        <f>-$E$25*BV33*BV45/100</f>
        <v>0</v>
      </c>
      <c r="BW56" s="55">
        <f>-$E$25*BW33*BW45/100</f>
        <v>0</v>
      </c>
      <c r="BX56" s="55">
        <f>-$E$25*BX33*BX45/100</f>
        <v>0</v>
      </c>
      <c r="BY56" s="55">
        <f>-$E$25*BY33*BY45/100</f>
        <v>0</v>
      </c>
      <c r="BZ56" s="55">
        <f>-$E$25*BZ33*BZ45/100</f>
        <v>0</v>
      </c>
      <c r="CA56" s="55">
        <f>-$E$25*CA33*CA45/100</f>
        <v>0</v>
      </c>
      <c r="CB56" s="55">
        <f>-$E$25*CB33*CB45/100</f>
        <v>0</v>
      </c>
      <c r="CC56" s="55">
        <f>-$E$25*CC33*CC45/100</f>
        <v>0</v>
      </c>
      <c r="CD56" s="55">
        <f>-$E$25*CD33*CD45/100</f>
        <v>0</v>
      </c>
      <c r="CE56" s="55">
        <f>-$E$25*CE33*CE45/100</f>
        <v>0</v>
      </c>
      <c r="CF56" s="55">
        <f>-$E$25*CF33*CF45/100</f>
        <v>0</v>
      </c>
      <c r="CG56" s="55">
        <f>-$E$25*CG33*CG45/100</f>
        <v>0</v>
      </c>
      <c r="CH56" s="55">
        <f>-$E$25*CH33*CH45/100</f>
        <v>0</v>
      </c>
      <c r="CI56" s="54">
        <f>-$E$25*CI33*CI45/100</f>
        <v>0</v>
      </c>
      <c r="CJ56" s="54">
        <f t="shared" ref="CJ56:CN56" si="111">-$E$25*CJ33*CJ45/100</f>
        <v>0</v>
      </c>
      <c r="CK56" s="54">
        <f t="shared" si="111"/>
        <v>0</v>
      </c>
      <c r="CL56" s="54">
        <f t="shared" si="111"/>
        <v>0</v>
      </c>
      <c r="CM56" s="54">
        <f t="shared" si="111"/>
        <v>0</v>
      </c>
      <c r="CN56" s="62">
        <f t="shared" si="111"/>
        <v>0</v>
      </c>
      <c r="CO56" s="55">
        <f>SUM(BT56:CN56)</f>
        <v>0</v>
      </c>
      <c r="CP56" s="73"/>
      <c r="CQ56" s="194"/>
    </row>
    <row r="57" spans="2:95" ht="16.5" thickBot="1" x14ac:dyDescent="0.3">
      <c r="B57" s="69"/>
      <c r="C57" s="56" t="s">
        <v>53</v>
      </c>
      <c r="D57" s="56"/>
      <c r="E57" s="65">
        <f>-E56*E16</f>
        <v>-134.16575778617809</v>
      </c>
      <c r="F57" s="57">
        <f>-F56*F16</f>
        <v>-124.08844090381037</v>
      </c>
      <c r="G57" s="57">
        <f t="shared" ref="G57:Y57" si="112">-G56*G16</f>
        <v>-115.02551250529672</v>
      </c>
      <c r="H57" s="57">
        <f t="shared" si="112"/>
        <v>-53.19291876878016</v>
      </c>
      <c r="I57" s="57">
        <f t="shared" si="112"/>
        <v>0</v>
      </c>
      <c r="J57" s="57">
        <f t="shared" si="112"/>
        <v>0</v>
      </c>
      <c r="K57" s="57">
        <f t="shared" si="112"/>
        <v>0</v>
      </c>
      <c r="L57" s="57">
        <f t="shared" si="112"/>
        <v>0</v>
      </c>
      <c r="M57" s="57">
        <f t="shared" si="112"/>
        <v>0</v>
      </c>
      <c r="N57" s="57">
        <f t="shared" si="112"/>
        <v>0</v>
      </c>
      <c r="O57" s="57">
        <f t="shared" si="112"/>
        <v>0</v>
      </c>
      <c r="P57" s="57">
        <f t="shared" si="112"/>
        <v>0</v>
      </c>
      <c r="Q57" s="57">
        <f t="shared" si="112"/>
        <v>0</v>
      </c>
      <c r="R57" s="57">
        <f t="shared" si="112"/>
        <v>0</v>
      </c>
      <c r="S57" s="57">
        <f t="shared" si="112"/>
        <v>0</v>
      </c>
      <c r="T57" s="57">
        <f t="shared" si="112"/>
        <v>0</v>
      </c>
      <c r="U57" s="57">
        <f t="shared" si="112"/>
        <v>-62.667500052177104</v>
      </c>
      <c r="V57" s="57">
        <f t="shared" si="112"/>
        <v>-99.443218274746457</v>
      </c>
      <c r="W57" s="57">
        <f t="shared" si="112"/>
        <v>-65.758582022341514</v>
      </c>
      <c r="X57" s="57">
        <f t="shared" si="112"/>
        <v>-43.481179163704425</v>
      </c>
      <c r="Y57" s="66">
        <f t="shared" si="112"/>
        <v>-28.785022828031352</v>
      </c>
      <c r="Z57" s="58">
        <f>SUM(E57:Y57)</f>
        <v>-726.60813230506619</v>
      </c>
      <c r="AA57" s="74"/>
      <c r="AB57" s="144"/>
      <c r="AI57" s="69"/>
      <c r="AJ57" s="56" t="s">
        <v>53</v>
      </c>
      <c r="AK57" s="56"/>
      <c r="AL57" s="65">
        <f>$E$27*AL33*AL45/100</f>
        <v>0</v>
      </c>
      <c r="AM57" s="57">
        <f>$E$27*AM33*AM45/100</f>
        <v>0</v>
      </c>
      <c r="AN57" s="57">
        <f>$E$27*AN33*AN45/100</f>
        <v>0</v>
      </c>
      <c r="AO57" s="57">
        <f>$E$27*AO33*AO45/100</f>
        <v>0</v>
      </c>
      <c r="AP57" s="57">
        <f>$E$27*AP33*AP45/100</f>
        <v>0</v>
      </c>
      <c r="AQ57" s="57">
        <f>$E$27*AQ33*AQ45/100</f>
        <v>0</v>
      </c>
      <c r="AR57" s="57">
        <f>$E$27*AR33*AR45/100</f>
        <v>0</v>
      </c>
      <c r="AS57" s="57">
        <f>$E$27*AS33*AS45/100</f>
        <v>0</v>
      </c>
      <c r="AT57" s="57">
        <f>$E$27*AT33*AT45/100</f>
        <v>0</v>
      </c>
      <c r="AU57" s="57">
        <f>$E$27*AU33*AU45/100</f>
        <v>0</v>
      </c>
      <c r="AV57" s="57">
        <f>$E$27*AV33*AV45/100</f>
        <v>0</v>
      </c>
      <c r="AW57" s="57">
        <f>$E$27*AW33*AW45/100</f>
        <v>0</v>
      </c>
      <c r="AX57" s="57">
        <f>$E$27*AX33*AX45/100</f>
        <v>0</v>
      </c>
      <c r="AY57" s="57">
        <f>$E$27*AY33*AY45/100</f>
        <v>0</v>
      </c>
      <c r="AZ57" s="57">
        <f>$E$27*AZ33*AZ45/100</f>
        <v>0</v>
      </c>
      <c r="BA57" s="57">
        <f>$E$27*BA33*BA45/100</f>
        <v>0</v>
      </c>
      <c r="BB57" s="57">
        <f t="shared" si="84"/>
        <v>-62.667500052177104</v>
      </c>
      <c r="BC57" s="57">
        <f t="shared" si="107"/>
        <v>-99.443218274746457</v>
      </c>
      <c r="BD57" s="57">
        <f t="shared" si="108"/>
        <v>-65.758582022341514</v>
      </c>
      <c r="BE57" s="57">
        <f t="shared" si="109"/>
        <v>-43.481179163704425</v>
      </c>
      <c r="BF57" s="66">
        <f t="shared" si="110"/>
        <v>-28.785022828031352</v>
      </c>
      <c r="BG57" s="58">
        <f>SUM(AL57:BF57)</f>
        <v>-300.13550234100086</v>
      </c>
      <c r="BH57" s="74"/>
      <c r="BI57" s="144"/>
      <c r="BQ57" s="69"/>
      <c r="BR57" s="56" t="s">
        <v>53</v>
      </c>
      <c r="BS57" s="56"/>
      <c r="BT57" s="65">
        <f>$E$27*BT33*BT45/100</f>
        <v>0</v>
      </c>
      <c r="BU57" s="57">
        <f>$E$27*BU33*BU45/100</f>
        <v>0</v>
      </c>
      <c r="BV57" s="57">
        <f>$E$27*BV33*BV45/100</f>
        <v>0</v>
      </c>
      <c r="BW57" s="57">
        <f>$E$27*BW33*BW45/100</f>
        <v>0</v>
      </c>
      <c r="BX57" s="57">
        <f>$E$27*BX33*BX45/100</f>
        <v>0</v>
      </c>
      <c r="BY57" s="57">
        <f>$E$27*BY33*BY45/100</f>
        <v>0</v>
      </c>
      <c r="BZ57" s="57">
        <f>$E$27*BZ33*BZ45/100</f>
        <v>0</v>
      </c>
      <c r="CA57" s="57">
        <f>$E$27*CA33*CA45/100</f>
        <v>0</v>
      </c>
      <c r="CB57" s="57">
        <f>$E$27*CB33*CB45/100</f>
        <v>0</v>
      </c>
      <c r="CC57" s="57">
        <f>$E$27*CC33*CC45/100</f>
        <v>0</v>
      </c>
      <c r="CD57" s="57">
        <f>$E$27*CD33*CD45/100</f>
        <v>0</v>
      </c>
      <c r="CE57" s="57">
        <f>$E$27*CE33*CE45/100</f>
        <v>0</v>
      </c>
      <c r="CF57" s="57">
        <f>$E$27*CF33*CF45/100</f>
        <v>0</v>
      </c>
      <c r="CG57" s="57">
        <f>$E$27*CG33*CG45/100</f>
        <v>0</v>
      </c>
      <c r="CH57" s="57">
        <f>$E$27*CH33*CH45/100</f>
        <v>0</v>
      </c>
      <c r="CI57" s="57">
        <f>$E$27*CI33*CI45/100</f>
        <v>0</v>
      </c>
      <c r="CJ57" s="57">
        <f t="shared" ref="CJ57:CN57" si="113">$E$27*CJ33*CJ45/100</f>
        <v>0</v>
      </c>
      <c r="CK57" s="57">
        <f t="shared" si="113"/>
        <v>0</v>
      </c>
      <c r="CL57" s="57">
        <f t="shared" si="113"/>
        <v>0</v>
      </c>
      <c r="CM57" s="57">
        <f t="shared" si="113"/>
        <v>0</v>
      </c>
      <c r="CN57" s="66">
        <f t="shared" si="113"/>
        <v>0</v>
      </c>
      <c r="CO57" s="58">
        <f>SUM(BT57:CN57)</f>
        <v>0</v>
      </c>
      <c r="CP57" s="74"/>
      <c r="CQ57" s="195"/>
    </row>
    <row r="61" spans="2:95" ht="16.5" thickBot="1" x14ac:dyDescent="0.3"/>
    <row r="62" spans="2:95" ht="58.5" customHeight="1" x14ac:dyDescent="0.25">
      <c r="BR62" s="174" t="s">
        <v>94</v>
      </c>
      <c r="BS62" s="202"/>
      <c r="BT62" s="202"/>
      <c r="BU62" s="202"/>
      <c r="BV62" s="202"/>
      <c r="BW62" s="202"/>
      <c r="BX62" s="202"/>
      <c r="BY62" s="202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202"/>
      <c r="CN62" s="202"/>
      <c r="CO62" s="202"/>
      <c r="CP62" s="202"/>
      <c r="CQ62" s="203"/>
    </row>
    <row r="63" spans="2:95" ht="16.5" thickBot="1" x14ac:dyDescent="0.3">
      <c r="BR63" s="204"/>
      <c r="BS63" s="205"/>
      <c r="BT63" s="205"/>
      <c r="BU63" s="205"/>
      <c r="BV63" s="205"/>
      <c r="BW63" s="205"/>
      <c r="BX63" s="205"/>
      <c r="BY63" s="205"/>
      <c r="BZ63" s="205"/>
      <c r="CA63" s="205"/>
      <c r="CB63" s="205"/>
      <c r="CC63" s="205"/>
      <c r="CD63" s="205"/>
      <c r="CE63" s="205"/>
      <c r="CF63" s="205"/>
      <c r="CG63" s="205"/>
      <c r="CH63" s="205"/>
      <c r="CI63" s="205"/>
      <c r="CJ63" s="205"/>
      <c r="CK63" s="205"/>
      <c r="CL63" s="205"/>
      <c r="CM63" s="205"/>
      <c r="CN63" s="205"/>
      <c r="CO63" s="205"/>
      <c r="CP63" s="205"/>
      <c r="CQ63" s="206"/>
    </row>
    <row r="64" spans="2:95" ht="16.5" thickBot="1" x14ac:dyDescent="0.3"/>
    <row r="65" spans="69:95" ht="16.5" thickBot="1" x14ac:dyDescent="0.3">
      <c r="BQ65" s="211" t="s">
        <v>92</v>
      </c>
      <c r="BR65" s="145" t="s">
        <v>77</v>
      </c>
      <c r="BS65" s="146"/>
      <c r="BT65" s="108">
        <v>0</v>
      </c>
      <c r="BU65" s="108">
        <v>1</v>
      </c>
      <c r="BV65" s="108">
        <v>2</v>
      </c>
      <c r="BW65" s="108">
        <v>3</v>
      </c>
      <c r="BX65" s="108">
        <v>4</v>
      </c>
      <c r="BY65" s="108">
        <v>5</v>
      </c>
      <c r="BZ65" s="108">
        <v>6</v>
      </c>
      <c r="CA65" s="108">
        <v>7</v>
      </c>
      <c r="CB65" s="108">
        <v>8</v>
      </c>
      <c r="CC65" s="108">
        <v>9</v>
      </c>
      <c r="CD65" s="108">
        <v>10</v>
      </c>
      <c r="CE65" s="108">
        <v>11</v>
      </c>
      <c r="CF65" s="108">
        <v>12</v>
      </c>
      <c r="CG65" s="108">
        <v>13</v>
      </c>
      <c r="CH65" s="108">
        <v>14</v>
      </c>
      <c r="CI65" s="108">
        <v>15</v>
      </c>
      <c r="CJ65" s="108">
        <v>16</v>
      </c>
      <c r="CK65" s="108">
        <v>17</v>
      </c>
      <c r="CL65" s="108">
        <v>18</v>
      </c>
      <c r="CM65" s="108">
        <v>19</v>
      </c>
      <c r="CN65" s="109">
        <v>20</v>
      </c>
    </row>
    <row r="66" spans="69:95" x14ac:dyDescent="0.25">
      <c r="BQ66" s="211"/>
      <c r="BR66" s="147" t="s">
        <v>75</v>
      </c>
      <c r="BS66" s="148" t="s">
        <v>82</v>
      </c>
      <c r="BT66" s="113">
        <v>10</v>
      </c>
      <c r="BU66" s="113">
        <v>11</v>
      </c>
      <c r="BV66" s="113">
        <v>12</v>
      </c>
      <c r="BW66" s="113">
        <v>13</v>
      </c>
      <c r="BX66" s="113">
        <v>14</v>
      </c>
      <c r="BY66" s="113">
        <v>15</v>
      </c>
      <c r="BZ66" s="113">
        <v>16</v>
      </c>
      <c r="CA66" s="113">
        <v>17</v>
      </c>
      <c r="CB66" s="113">
        <v>18</v>
      </c>
      <c r="CC66" s="113">
        <v>19</v>
      </c>
      <c r="CD66" s="113">
        <v>20</v>
      </c>
      <c r="CE66" s="113">
        <v>21</v>
      </c>
      <c r="CF66" s="113">
        <v>22</v>
      </c>
      <c r="CG66" s="113">
        <v>23</v>
      </c>
      <c r="CH66" s="113">
        <v>24</v>
      </c>
      <c r="CI66" s="113">
        <v>25</v>
      </c>
      <c r="CJ66" s="113">
        <v>26</v>
      </c>
      <c r="CK66" s="113">
        <v>27</v>
      </c>
      <c r="CL66" s="113">
        <v>28</v>
      </c>
      <c r="CM66" s="113">
        <v>29</v>
      </c>
      <c r="CN66" s="185">
        <v>30</v>
      </c>
    </row>
    <row r="67" spans="69:95" x14ac:dyDescent="0.25">
      <c r="BQ67" s="211"/>
      <c r="BR67" s="147" t="s">
        <v>75</v>
      </c>
      <c r="BS67" s="148" t="s">
        <v>83</v>
      </c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86"/>
    </row>
    <row r="68" spans="69:95" ht="16.5" thickBot="1" x14ac:dyDescent="0.3">
      <c r="BQ68" s="211"/>
      <c r="BR68" s="150" t="s">
        <v>76</v>
      </c>
      <c r="BS68" s="151"/>
      <c r="BT68" s="134">
        <v>10</v>
      </c>
      <c r="BU68" s="134">
        <v>11</v>
      </c>
      <c r="BV68" s="134">
        <v>12</v>
      </c>
      <c r="BW68" s="134">
        <v>13</v>
      </c>
      <c r="BX68" s="134">
        <v>14</v>
      </c>
      <c r="BY68" s="134">
        <v>15</v>
      </c>
      <c r="BZ68" s="134">
        <v>16</v>
      </c>
      <c r="CA68" s="135">
        <v>0</v>
      </c>
      <c r="CB68" s="135">
        <v>0</v>
      </c>
      <c r="CC68" s="135">
        <v>0</v>
      </c>
      <c r="CD68" s="135">
        <v>0</v>
      </c>
      <c r="CE68" s="135">
        <v>0</v>
      </c>
      <c r="CF68" s="135">
        <v>0</v>
      </c>
      <c r="CG68" s="135">
        <v>0</v>
      </c>
      <c r="CH68" s="135">
        <v>0</v>
      </c>
      <c r="CI68" s="135">
        <v>0</v>
      </c>
      <c r="CJ68" s="135">
        <v>0</v>
      </c>
      <c r="CK68" s="135">
        <v>0</v>
      </c>
      <c r="CL68" s="135">
        <v>0</v>
      </c>
      <c r="CM68" s="135">
        <v>0</v>
      </c>
      <c r="CN68" s="138">
        <v>0</v>
      </c>
    </row>
    <row r="69" spans="69:95" ht="16.5" thickBot="1" x14ac:dyDescent="0.3">
      <c r="BQ69" s="212" t="s">
        <v>93</v>
      </c>
      <c r="BR69" s="149" t="s">
        <v>77</v>
      </c>
      <c r="BS69" s="148"/>
      <c r="BT69" s="110">
        <v>-1</v>
      </c>
      <c r="BU69" s="111">
        <v>-2</v>
      </c>
      <c r="BV69" s="111">
        <v>-3</v>
      </c>
      <c r="BW69" s="111">
        <v>-4</v>
      </c>
      <c r="BX69" s="111">
        <v>-5</v>
      </c>
      <c r="BY69" s="111">
        <v>-6</v>
      </c>
      <c r="BZ69" s="111">
        <v>-7</v>
      </c>
      <c r="CA69" s="111">
        <v>-8</v>
      </c>
      <c r="CB69" s="111">
        <v>-9</v>
      </c>
      <c r="CC69" s="112">
        <v>-10</v>
      </c>
    </row>
    <row r="70" spans="69:95" x14ac:dyDescent="0.25">
      <c r="BQ70" s="211"/>
      <c r="BR70" s="147" t="s">
        <v>75</v>
      </c>
      <c r="BS70" s="148" t="s">
        <v>82</v>
      </c>
      <c r="BT70" s="107">
        <v>9</v>
      </c>
      <c r="BU70" s="107">
        <v>8</v>
      </c>
      <c r="BV70" s="107">
        <v>7</v>
      </c>
      <c r="BW70" s="107">
        <v>6</v>
      </c>
      <c r="BX70" s="107">
        <v>5</v>
      </c>
      <c r="BY70" s="107">
        <v>4</v>
      </c>
      <c r="BZ70" s="107">
        <v>3</v>
      </c>
      <c r="CA70" s="107">
        <v>2</v>
      </c>
      <c r="CB70" s="107">
        <v>1</v>
      </c>
      <c r="CC70" s="140" t="s">
        <v>21</v>
      </c>
    </row>
    <row r="71" spans="69:95" x14ac:dyDescent="0.25">
      <c r="BQ71" s="211"/>
      <c r="BR71" s="147" t="s">
        <v>75</v>
      </c>
      <c r="BS71" s="148" t="s">
        <v>83</v>
      </c>
      <c r="BT71" s="115"/>
      <c r="BU71" s="115"/>
      <c r="BV71" s="115"/>
      <c r="BW71" s="115"/>
      <c r="BX71" s="115"/>
      <c r="BY71" s="115"/>
      <c r="BZ71" s="115"/>
      <c r="CA71" s="115"/>
      <c r="CB71" s="115"/>
      <c r="CC71" s="137" t="s">
        <v>79</v>
      </c>
    </row>
    <row r="72" spans="69:95" ht="16.5" thickBot="1" x14ac:dyDescent="0.3">
      <c r="BQ72" s="211"/>
      <c r="BR72" s="150" t="s">
        <v>76</v>
      </c>
      <c r="BS72" s="151"/>
      <c r="BT72" s="134">
        <v>9</v>
      </c>
      <c r="BU72" s="134">
        <v>8</v>
      </c>
      <c r="BV72" s="134">
        <v>7</v>
      </c>
      <c r="BW72" s="134">
        <v>6</v>
      </c>
      <c r="BX72" s="134">
        <v>5</v>
      </c>
      <c r="BY72" s="134">
        <v>4</v>
      </c>
      <c r="BZ72" s="134">
        <v>3</v>
      </c>
      <c r="CA72" s="134">
        <v>2</v>
      </c>
      <c r="CB72" s="134">
        <v>1</v>
      </c>
      <c r="CC72" s="138">
        <v>0</v>
      </c>
    </row>
    <row r="73" spans="69:95" ht="16.5" thickBot="1" x14ac:dyDescent="0.3"/>
    <row r="74" spans="69:95" ht="16.5" thickBot="1" x14ac:dyDescent="0.3">
      <c r="BR74" s="103" t="s">
        <v>77</v>
      </c>
      <c r="BS74" s="104"/>
      <c r="BT74" s="105">
        <v>0</v>
      </c>
      <c r="BU74" s="105">
        <v>1</v>
      </c>
      <c r="BV74" s="105">
        <v>2</v>
      </c>
      <c r="BW74" s="105">
        <v>3</v>
      </c>
      <c r="BX74" s="105">
        <v>4</v>
      </c>
      <c r="BY74" s="105">
        <v>5</v>
      </c>
      <c r="BZ74" s="105">
        <v>6</v>
      </c>
      <c r="CA74" s="105">
        <v>7</v>
      </c>
      <c r="CB74" s="105">
        <v>8</v>
      </c>
      <c r="CC74" s="105">
        <v>9</v>
      </c>
      <c r="CD74" s="105">
        <v>10</v>
      </c>
      <c r="CE74" s="105">
        <v>11</v>
      </c>
      <c r="CF74" s="105">
        <v>12</v>
      </c>
      <c r="CG74" s="105">
        <v>13</v>
      </c>
      <c r="CH74" s="105">
        <v>14</v>
      </c>
      <c r="CI74" s="105">
        <v>15</v>
      </c>
      <c r="CJ74" s="105">
        <v>16</v>
      </c>
      <c r="CK74" s="105">
        <v>17</v>
      </c>
      <c r="CL74" s="105">
        <v>18</v>
      </c>
      <c r="CM74" s="105">
        <v>19</v>
      </c>
      <c r="CN74" s="106">
        <v>20</v>
      </c>
    </row>
    <row r="75" spans="69:95" ht="16.5" thickBot="1" x14ac:dyDescent="0.3">
      <c r="BR75" s="120" t="s">
        <v>76</v>
      </c>
      <c r="BS75" s="121"/>
      <c r="BT75" s="207">
        <v>10</v>
      </c>
      <c r="BU75" s="208">
        <v>11</v>
      </c>
      <c r="BV75" s="208">
        <v>12</v>
      </c>
      <c r="BW75" s="208">
        <v>13</v>
      </c>
      <c r="BX75" s="208">
        <v>14</v>
      </c>
      <c r="BY75" s="208">
        <v>15</v>
      </c>
      <c r="BZ75" s="208">
        <v>16</v>
      </c>
      <c r="CA75" s="209">
        <v>0</v>
      </c>
      <c r="CB75" s="209">
        <v>0</v>
      </c>
      <c r="CC75" s="209">
        <v>0</v>
      </c>
      <c r="CD75" s="209">
        <v>0</v>
      </c>
      <c r="CE75" s="209">
        <v>0</v>
      </c>
      <c r="CF75" s="209">
        <v>0</v>
      </c>
      <c r="CG75" s="209">
        <v>0</v>
      </c>
      <c r="CH75" s="209">
        <v>0</v>
      </c>
      <c r="CI75" s="209">
        <v>0</v>
      </c>
      <c r="CJ75" s="209">
        <v>0</v>
      </c>
      <c r="CK75" s="209">
        <v>0</v>
      </c>
      <c r="CL75" s="209">
        <v>0</v>
      </c>
      <c r="CM75" s="209">
        <v>0</v>
      </c>
      <c r="CN75" s="210">
        <v>0</v>
      </c>
      <c r="CQ75" s="14" t="s">
        <v>90</v>
      </c>
    </row>
    <row r="76" spans="69:95" ht="32.25" customHeight="1" thickBot="1" x14ac:dyDescent="0.3">
      <c r="BR76" s="125" t="s">
        <v>78</v>
      </c>
      <c r="BS76" s="126"/>
      <c r="BT76" s="128">
        <f>CD21</f>
        <v>5.9000000000000004E-2</v>
      </c>
      <c r="BU76" s="128">
        <f>CE21</f>
        <v>5.91E-2</v>
      </c>
      <c r="BV76" s="128">
        <f t="shared" ref="BV76:CA76" si="114">CF21</f>
        <v>5.9000000000000004E-2</v>
      </c>
      <c r="BW76" s="128">
        <f t="shared" si="114"/>
        <v>5.91E-2</v>
      </c>
      <c r="BX76" s="128">
        <f t="shared" si="114"/>
        <v>5.9000000000000004E-2</v>
      </c>
      <c r="BY76" s="128">
        <f t="shared" si="114"/>
        <v>5.91E-2</v>
      </c>
      <c r="BZ76" s="128">
        <f t="shared" si="114"/>
        <v>2.9500000000000002E-2</v>
      </c>
      <c r="CA76" s="161">
        <f t="shared" si="114"/>
        <v>0</v>
      </c>
      <c r="CB76" s="161">
        <v>0</v>
      </c>
      <c r="CC76" s="161">
        <v>0</v>
      </c>
      <c r="CD76" s="161">
        <v>0</v>
      </c>
      <c r="CE76" s="161">
        <v>0</v>
      </c>
      <c r="CF76" s="161">
        <v>0</v>
      </c>
      <c r="CG76" s="161">
        <v>0</v>
      </c>
      <c r="CH76" s="161">
        <v>0</v>
      </c>
      <c r="CI76" s="161">
        <v>0</v>
      </c>
      <c r="CJ76" s="161">
        <v>0</v>
      </c>
      <c r="CK76" s="161">
        <v>0</v>
      </c>
      <c r="CL76" s="161">
        <v>0</v>
      </c>
      <c r="CM76" s="161">
        <v>0</v>
      </c>
      <c r="CN76" s="201">
        <v>0</v>
      </c>
      <c r="CQ76" s="184" t="s">
        <v>72</v>
      </c>
    </row>
    <row r="77" spans="69:95" x14ac:dyDescent="0.25">
      <c r="BQ77" s="67" t="s">
        <v>49</v>
      </c>
      <c r="BR77" s="156" t="s">
        <v>8</v>
      </c>
      <c r="BS77" s="156"/>
      <c r="BT77" s="157">
        <f>E48</f>
        <v>-1002.3052380778997</v>
      </c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3"/>
      <c r="CO77" s="158"/>
      <c r="CP77" s="159"/>
      <c r="CQ77" s="193" t="s">
        <v>73</v>
      </c>
    </row>
    <row r="78" spans="69:95" x14ac:dyDescent="0.25">
      <c r="BQ78" s="68"/>
      <c r="BR78" s="53" t="s">
        <v>56</v>
      </c>
      <c r="BS78" s="53"/>
      <c r="BT78" s="61">
        <v>0</v>
      </c>
      <c r="BU78" s="54">
        <f>F49</f>
        <v>586.6916181659451</v>
      </c>
      <c r="BV78" s="54">
        <f t="shared" ref="BV78:CN78" si="115">G49</f>
        <v>543.23297978328253</v>
      </c>
      <c r="BW78" s="54">
        <f t="shared" si="115"/>
        <v>502.99349979933567</v>
      </c>
      <c r="BX78" s="54">
        <f t="shared" si="115"/>
        <v>465.73472203642189</v>
      </c>
      <c r="BY78" s="54">
        <f t="shared" si="115"/>
        <v>431.23585373742765</v>
      </c>
      <c r="BZ78" s="54">
        <f t="shared" si="115"/>
        <v>399.29245716428477</v>
      </c>
      <c r="CA78" s="54">
        <f t="shared" si="115"/>
        <v>369.71523811507853</v>
      </c>
      <c r="CB78" s="54">
        <f t="shared" si="115"/>
        <v>342.32892418062823</v>
      </c>
      <c r="CC78" s="54">
        <f t="shared" si="115"/>
        <v>316.97122609317432</v>
      </c>
      <c r="CD78" s="54">
        <f t="shared" si="115"/>
        <v>293.49187601219842</v>
      </c>
      <c r="CE78" s="54">
        <f t="shared" si="115"/>
        <v>271.75173704833185</v>
      </c>
      <c r="CF78" s="54">
        <f t="shared" si="115"/>
        <v>251.62197874845538</v>
      </c>
      <c r="CG78" s="54">
        <f t="shared" si="115"/>
        <v>232.98331365597721</v>
      </c>
      <c r="CH78" s="54">
        <f t="shared" si="115"/>
        <v>215.72529042220111</v>
      </c>
      <c r="CI78" s="54">
        <f t="shared" si="115"/>
        <v>199.7456392798158</v>
      </c>
      <c r="CJ78" s="54">
        <f t="shared" si="115"/>
        <v>184.94966599982945</v>
      </c>
      <c r="CK78" s="54">
        <f t="shared" si="115"/>
        <v>171.24969074058285</v>
      </c>
      <c r="CL78" s="54">
        <f t="shared" si="115"/>
        <v>158.5645284635026</v>
      </c>
      <c r="CM78" s="54">
        <f t="shared" si="115"/>
        <v>146.81900783657647</v>
      </c>
      <c r="CN78" s="62">
        <f t="shared" si="115"/>
        <v>135.94352577460785</v>
      </c>
      <c r="CO78" s="55">
        <f>SUM(BT78:CN78)</f>
        <v>6221.0427730576594</v>
      </c>
      <c r="CP78" s="73">
        <f>SUM(CO78:CO81)</f>
        <v>6299.5733710001678</v>
      </c>
      <c r="CQ78" s="194"/>
    </row>
    <row r="79" spans="69:95" x14ac:dyDescent="0.25">
      <c r="BQ79" s="68"/>
      <c r="BR79" s="53" t="s">
        <v>24</v>
      </c>
      <c r="BS79" s="53"/>
      <c r="BT79" s="63">
        <f>BT77*BT61</f>
        <v>0</v>
      </c>
      <c r="BU79" s="55">
        <f>BU77*BU61</f>
        <v>0</v>
      </c>
      <c r="BV79" s="55">
        <f>BV77*BV61</f>
        <v>0</v>
      </c>
      <c r="BW79" s="55">
        <f>BW77*BW61</f>
        <v>0</v>
      </c>
      <c r="BX79" s="55">
        <f>BX77*BX61</f>
        <v>0</v>
      </c>
      <c r="BY79" s="55">
        <f>BY77*BY61</f>
        <v>0</v>
      </c>
      <c r="BZ79" s="55">
        <f>BZ77*BZ61</f>
        <v>0</v>
      </c>
      <c r="CA79" s="55">
        <f>CA77*CA61</f>
        <v>0</v>
      </c>
      <c r="CB79" s="55">
        <f>CB77*CB61</f>
        <v>0</v>
      </c>
      <c r="CC79" s="55">
        <f>CC77*CC61</f>
        <v>0</v>
      </c>
      <c r="CD79" s="55">
        <f>CD77*CD61</f>
        <v>0</v>
      </c>
      <c r="CE79" s="55">
        <f>CE77*CE61</f>
        <v>0</v>
      </c>
      <c r="CF79" s="55">
        <f>CF77*CF61</f>
        <v>0</v>
      </c>
      <c r="CG79" s="55">
        <f>CG77*CG61</f>
        <v>0</v>
      </c>
      <c r="CH79" s="55">
        <f>CH77*CH61</f>
        <v>0</v>
      </c>
      <c r="CI79" s="55">
        <f>BB79</f>
        <v>0</v>
      </c>
      <c r="CJ79" s="55">
        <f>CJ77*CJ61</f>
        <v>0</v>
      </c>
      <c r="CK79" s="55">
        <f>CK77*CK61</f>
        <v>0</v>
      </c>
      <c r="CL79" s="55">
        <f>CL77*CL61</f>
        <v>0</v>
      </c>
      <c r="CM79" s="55">
        <f>CM77*CM61</f>
        <v>0</v>
      </c>
      <c r="CN79" s="64">
        <f>CN77*CN61</f>
        <v>0</v>
      </c>
      <c r="CO79" s="55">
        <f>SUM(BT79:CN79)</f>
        <v>0</v>
      </c>
      <c r="CP79" s="73"/>
      <c r="CQ79" s="194"/>
    </row>
    <row r="80" spans="69:95" x14ac:dyDescent="0.25">
      <c r="BQ80" s="68"/>
      <c r="BR80" s="53" t="s">
        <v>52</v>
      </c>
      <c r="BS80" s="53"/>
      <c r="BT80" s="61">
        <f>-$BT$77*BT76*BT17</f>
        <v>59.136009046596087</v>
      </c>
      <c r="BU80" s="54">
        <f>-$BT$77*BU76*BU17</f>
        <v>54.848369972596174</v>
      </c>
      <c r="BV80" s="54">
        <f t="shared" ref="BV80:CF80" si="116">-$BT$77*BV76*BV17</f>
        <v>50.699596233364268</v>
      </c>
      <c r="BW80" s="54">
        <f t="shared" si="116"/>
        <v>47.023636807781358</v>
      </c>
      <c r="BX80" s="54">
        <f t="shared" si="116"/>
        <v>43.466732024489254</v>
      </c>
      <c r="BY80" s="54">
        <f t="shared" si="116"/>
        <v>40.315189307082775</v>
      </c>
      <c r="BZ80" s="54">
        <f t="shared" si="116"/>
        <v>18.632858378124673</v>
      </c>
      <c r="CA80" s="54">
        <f t="shared" si="116"/>
        <v>0</v>
      </c>
      <c r="CB80" s="54">
        <f t="shared" si="116"/>
        <v>0</v>
      </c>
      <c r="CC80" s="54">
        <f t="shared" si="116"/>
        <v>0</v>
      </c>
      <c r="CD80" s="54">
        <f t="shared" si="116"/>
        <v>0</v>
      </c>
      <c r="CE80" s="54">
        <f t="shared" si="116"/>
        <v>0</v>
      </c>
      <c r="CF80" s="54">
        <f t="shared" si="116"/>
        <v>0</v>
      </c>
      <c r="CG80" s="54">
        <f>-$E$20*CG62/100*CG74</f>
        <v>0</v>
      </c>
      <c r="CH80" s="54">
        <f>-$E$20*CH62/100*CH74</f>
        <v>0</v>
      </c>
      <c r="CI80" s="54">
        <f>-$E$20*CI62/100*CI74</f>
        <v>0</v>
      </c>
      <c r="CJ80" s="54">
        <f>BC80</f>
        <v>0</v>
      </c>
      <c r="CK80" s="54">
        <f t="shared" ref="CK80:CK81" si="117">BD80</f>
        <v>0</v>
      </c>
      <c r="CL80" s="54">
        <f t="shared" ref="CL80:CL81" si="118">BE80</f>
        <v>0</v>
      </c>
      <c r="CM80" s="54">
        <f t="shared" ref="CM80:CM81" si="119">BF80</f>
        <v>0</v>
      </c>
      <c r="CN80" s="62">
        <f t="shared" ref="CN80:CN81" si="120">BG80</f>
        <v>0</v>
      </c>
      <c r="CO80" s="55">
        <f>SUM(BT80:CN80)</f>
        <v>314.12239177003465</v>
      </c>
      <c r="CP80" s="73"/>
      <c r="CQ80" s="194"/>
    </row>
    <row r="81" spans="69:95" ht="16.5" thickBot="1" x14ac:dyDescent="0.3">
      <c r="BQ81" s="69"/>
      <c r="BR81" s="56" t="s">
        <v>53</v>
      </c>
      <c r="BS81" s="56"/>
      <c r="BT81" s="65">
        <f>-BT80*BT16</f>
        <v>-44.352006784947065</v>
      </c>
      <c r="BU81" s="57">
        <f>-BU80*BU16</f>
        <v>-41.136277479447131</v>
      </c>
      <c r="BV81" s="57">
        <f t="shared" ref="BV81:CA81" si="121">-BV80*BV16</f>
        <v>-38.024697175023199</v>
      </c>
      <c r="BW81" s="57">
        <f t="shared" si="121"/>
        <v>-35.267727605836015</v>
      </c>
      <c r="BX81" s="57">
        <f t="shared" si="121"/>
        <v>-32.600049018366938</v>
      </c>
      <c r="BY81" s="57">
        <f t="shared" si="121"/>
        <v>-30.236391980312082</v>
      </c>
      <c r="BZ81" s="57">
        <f t="shared" si="121"/>
        <v>-13.974643783593505</v>
      </c>
      <c r="CA81" s="57">
        <f t="shared" si="121"/>
        <v>0</v>
      </c>
      <c r="CB81" s="57">
        <f>CB74*CB62/100*$E$22</f>
        <v>0</v>
      </c>
      <c r="CC81" s="57">
        <f>CC74*CC62/100*$E$22</f>
        <v>0</v>
      </c>
      <c r="CD81" s="57">
        <f>CD74*CD62/100*$E$22</f>
        <v>0</v>
      </c>
      <c r="CE81" s="57">
        <f>CE74*CE62/100*$E$22</f>
        <v>0</v>
      </c>
      <c r="CF81" s="57">
        <f>CF74*CF62/100*$E$22</f>
        <v>0</v>
      </c>
      <c r="CG81" s="57">
        <f>CG74*CG62/100*$E$22</f>
        <v>0</v>
      </c>
      <c r="CH81" s="57">
        <f>CH74*CH62/100*$E$22</f>
        <v>0</v>
      </c>
      <c r="CI81" s="57">
        <f>CI74*CI62/100*$E$22</f>
        <v>0</v>
      </c>
      <c r="CJ81" s="57">
        <f t="shared" ref="CJ81:CJ86" si="122">BC81</f>
        <v>0</v>
      </c>
      <c r="CK81" s="57">
        <f t="shared" si="117"/>
        <v>0</v>
      </c>
      <c r="CL81" s="57">
        <f t="shared" si="118"/>
        <v>0</v>
      </c>
      <c r="CM81" s="57">
        <f t="shared" si="119"/>
        <v>0</v>
      </c>
      <c r="CN81" s="66">
        <f t="shared" si="120"/>
        <v>0</v>
      </c>
      <c r="CO81" s="58">
        <f>SUM(BT81:CN81)</f>
        <v>-235.59179382752592</v>
      </c>
      <c r="CP81" s="74"/>
      <c r="CQ81" s="194"/>
    </row>
    <row r="82" spans="69:95" x14ac:dyDescent="0.25">
      <c r="BQ82" s="67" t="s">
        <v>50</v>
      </c>
      <c r="BR82" s="156" t="s">
        <v>8</v>
      </c>
      <c r="BS82" s="156"/>
      <c r="BT82" s="157">
        <f>E53</f>
        <v>-2003.2214675054588</v>
      </c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3"/>
      <c r="CO82" s="158"/>
      <c r="CP82" s="159"/>
      <c r="CQ82" s="194"/>
    </row>
    <row r="83" spans="69:95" x14ac:dyDescent="0.25">
      <c r="BQ83" s="68"/>
      <c r="BR83" s="53" t="s">
        <v>56</v>
      </c>
      <c r="BS83" s="53"/>
      <c r="BT83" s="61">
        <v>0</v>
      </c>
      <c r="BU83" s="54">
        <f>F54</f>
        <v>1173.3960975230971</v>
      </c>
      <c r="BV83" s="54">
        <f t="shared" ref="BV83:CN83" si="123">G54</f>
        <v>1086.4778680769418</v>
      </c>
      <c r="BW83" s="54">
        <f t="shared" si="123"/>
        <v>1005.9980259971683</v>
      </c>
      <c r="BX83" s="54">
        <f t="shared" si="123"/>
        <v>931.47965370108159</v>
      </c>
      <c r="BY83" s="54">
        <f t="shared" si="123"/>
        <v>862.4811608343349</v>
      </c>
      <c r="BZ83" s="54">
        <f t="shared" si="123"/>
        <v>798.59366743919873</v>
      </c>
      <c r="CA83" s="54">
        <f t="shared" si="123"/>
        <v>739.43858096222118</v>
      </c>
      <c r="CB83" s="54">
        <f t="shared" si="123"/>
        <v>684.66535274279727</v>
      </c>
      <c r="CC83" s="54">
        <f t="shared" si="123"/>
        <v>633.94940068777532</v>
      </c>
      <c r="CD83" s="54">
        <f t="shared" si="123"/>
        <v>586.99018582201404</v>
      </c>
      <c r="CE83" s="54">
        <f t="shared" si="123"/>
        <v>543.50943131667975</v>
      </c>
      <c r="CF83" s="54">
        <f t="shared" si="123"/>
        <v>503.24947344137001</v>
      </c>
      <c r="CG83" s="54">
        <f t="shared" si="123"/>
        <v>465.97173466793521</v>
      </c>
      <c r="CH83" s="54">
        <f t="shared" si="123"/>
        <v>431.45530987771775</v>
      </c>
      <c r="CI83" s="54">
        <f t="shared" si="123"/>
        <v>399.49565729418305</v>
      </c>
      <c r="CJ83" s="54">
        <f t="shared" si="123"/>
        <v>369.90338638350283</v>
      </c>
      <c r="CK83" s="54">
        <f t="shared" si="123"/>
        <v>342.50313554028043</v>
      </c>
      <c r="CL83" s="54">
        <f t="shared" si="123"/>
        <v>317.13253290766698</v>
      </c>
      <c r="CM83" s="54">
        <f t="shared" si="123"/>
        <v>293.64123417376572</v>
      </c>
      <c r="CN83" s="62">
        <f t="shared" si="123"/>
        <v>271.89003164237567</v>
      </c>
      <c r="CO83" s="55">
        <f>SUM(BT83:CN83)</f>
        <v>12442.221921032105</v>
      </c>
      <c r="CP83" s="73">
        <f>SUM(CO83:CO86)</f>
        <v>12599.174288113565</v>
      </c>
      <c r="CQ83" s="194"/>
    </row>
    <row r="84" spans="69:95" x14ac:dyDescent="0.25">
      <c r="BQ84" s="68"/>
      <c r="BR84" s="53" t="s">
        <v>24</v>
      </c>
      <c r="BS84" s="53"/>
      <c r="BT84" s="61">
        <f>BT82*BT61</f>
        <v>0</v>
      </c>
      <c r="BU84" s="54">
        <v>0</v>
      </c>
      <c r="BV84" s="54">
        <v>0</v>
      </c>
      <c r="BW84" s="54">
        <v>0</v>
      </c>
      <c r="BX84" s="54">
        <v>0</v>
      </c>
      <c r="BY84" s="54">
        <v>0</v>
      </c>
      <c r="BZ84" s="54">
        <v>0</v>
      </c>
      <c r="CA84" s="54">
        <v>0</v>
      </c>
      <c r="CB84" s="54">
        <v>0</v>
      </c>
      <c r="CC84" s="54">
        <v>0</v>
      </c>
      <c r="CD84" s="54">
        <v>0</v>
      </c>
      <c r="CE84" s="54">
        <v>0</v>
      </c>
      <c r="CF84" s="54">
        <v>0</v>
      </c>
      <c r="CG84" s="54">
        <v>0</v>
      </c>
      <c r="CH84" s="54">
        <v>0</v>
      </c>
      <c r="CI84" s="55">
        <f>BB84</f>
        <v>0</v>
      </c>
      <c r="CJ84" s="55">
        <f t="shared" ref="CJ84:CJ86" si="124">BC84</f>
        <v>0</v>
      </c>
      <c r="CK84" s="55">
        <v>0</v>
      </c>
      <c r="CL84" s="55">
        <v>0</v>
      </c>
      <c r="CM84" s="55">
        <v>0</v>
      </c>
      <c r="CN84" s="64">
        <v>0</v>
      </c>
      <c r="CO84" s="55">
        <f>SUM(BT84:CN84)</f>
        <v>0</v>
      </c>
      <c r="CP84" s="73"/>
      <c r="CQ84" s="194"/>
    </row>
    <row r="85" spans="69:95" x14ac:dyDescent="0.25">
      <c r="BQ85" s="68"/>
      <c r="BR85" s="53" t="s">
        <v>52</v>
      </c>
      <c r="BS85" s="53"/>
      <c r="BT85" s="63">
        <f>-$BT$82*BT76*BT17</f>
        <v>118.19006658282208</v>
      </c>
      <c r="BU85" s="55">
        <f>-$BT$82*BU76*BU17</f>
        <v>109.62073030515982</v>
      </c>
      <c r="BV85" s="55">
        <f t="shared" ref="BV85:CC85" si="125">-$BT$82*BV76*BV17</f>
        <v>101.32893225550589</v>
      </c>
      <c r="BW85" s="55">
        <f t="shared" si="125"/>
        <v>93.982107600445659</v>
      </c>
      <c r="BX85" s="55">
        <f t="shared" si="125"/>
        <v>86.873227242374725</v>
      </c>
      <c r="BY85" s="55">
        <f t="shared" si="125"/>
        <v>80.574509259641331</v>
      </c>
      <c r="BZ85" s="55">
        <f t="shared" si="125"/>
        <v>37.239895079893138</v>
      </c>
      <c r="CA85" s="55">
        <f t="shared" si="125"/>
        <v>0</v>
      </c>
      <c r="CB85" s="55">
        <f t="shared" si="125"/>
        <v>0</v>
      </c>
      <c r="CC85" s="55">
        <f t="shared" si="125"/>
        <v>0</v>
      </c>
      <c r="CD85" s="55">
        <f>-$E$25*CD62*CD74/100</f>
        <v>0</v>
      </c>
      <c r="CE85" s="55">
        <f>-$E$25*CE62*CE74/100</f>
        <v>0</v>
      </c>
      <c r="CF85" s="55">
        <f>-$E$25*CF62*CF74/100</f>
        <v>0</v>
      </c>
      <c r="CG85" s="55">
        <f>-$E$25*CG62*CG74/100</f>
        <v>0</v>
      </c>
      <c r="CH85" s="55">
        <f>-$E$25*CH62*CH74/100</f>
        <v>0</v>
      </c>
      <c r="CI85" s="54">
        <f>-$E$25*CI62*CI74/100</f>
        <v>0</v>
      </c>
      <c r="CJ85" s="54">
        <f t="shared" si="124"/>
        <v>0</v>
      </c>
      <c r="CK85" s="54">
        <f t="shared" ref="CK85:CK86" si="126">BD85</f>
        <v>0</v>
      </c>
      <c r="CL85" s="54">
        <f t="shared" ref="CL85:CL86" si="127">BE85</f>
        <v>0</v>
      </c>
      <c r="CM85" s="54">
        <f t="shared" ref="CM85:CM86" si="128">BF85</f>
        <v>0</v>
      </c>
      <c r="CN85" s="62">
        <f t="shared" ref="CN85:CN86" si="129">BG85</f>
        <v>0</v>
      </c>
      <c r="CO85" s="55">
        <f>SUM(BT85:CN85)</f>
        <v>627.80946832584266</v>
      </c>
      <c r="CP85" s="73"/>
      <c r="CQ85" s="194"/>
    </row>
    <row r="86" spans="69:95" ht="16.5" thickBot="1" x14ac:dyDescent="0.3">
      <c r="BQ86" s="69"/>
      <c r="BR86" s="56" t="s">
        <v>53</v>
      </c>
      <c r="BS86" s="56"/>
      <c r="BT86" s="65">
        <f>-BT85*BT16</f>
        <v>-88.64254993711657</v>
      </c>
      <c r="BU86" s="57">
        <f>-BU85*BU16</f>
        <v>-82.215547728869865</v>
      </c>
      <c r="BV86" s="57">
        <f t="shared" ref="BV86:CB86" si="130">-BV85*BV16</f>
        <v>-75.996699191629418</v>
      </c>
      <c r="BW86" s="57">
        <f t="shared" si="130"/>
        <v>-70.486580700334244</v>
      </c>
      <c r="BX86" s="57">
        <f t="shared" si="130"/>
        <v>-65.154920431781051</v>
      </c>
      <c r="BY86" s="57">
        <f t="shared" si="130"/>
        <v>-60.430881944730999</v>
      </c>
      <c r="BZ86" s="57">
        <f t="shared" si="130"/>
        <v>-27.929921309919855</v>
      </c>
      <c r="CA86" s="57">
        <f t="shared" si="130"/>
        <v>0</v>
      </c>
      <c r="CB86" s="57">
        <f t="shared" si="130"/>
        <v>0</v>
      </c>
      <c r="CC86" s="57">
        <f>$E$27*CC62*CC74/100</f>
        <v>0</v>
      </c>
      <c r="CD86" s="57">
        <f>$E$27*CD62*CD74/100</f>
        <v>0</v>
      </c>
      <c r="CE86" s="57">
        <f>$E$27*CE62*CE74/100</f>
        <v>0</v>
      </c>
      <c r="CF86" s="57">
        <f>$E$27*CF62*CF74/100</f>
        <v>0</v>
      </c>
      <c r="CG86" s="57">
        <f>$E$27*CG62*CG74/100</f>
        <v>0</v>
      </c>
      <c r="CH86" s="57">
        <f>$E$27*CH62*CH74/100</f>
        <v>0</v>
      </c>
      <c r="CI86" s="57">
        <f>$E$27*CI62*CI74/100</f>
        <v>0</v>
      </c>
      <c r="CJ86" s="57">
        <f t="shared" si="124"/>
        <v>0</v>
      </c>
      <c r="CK86" s="57">
        <f t="shared" si="126"/>
        <v>0</v>
      </c>
      <c r="CL86" s="57">
        <f t="shared" si="127"/>
        <v>0</v>
      </c>
      <c r="CM86" s="57">
        <f t="shared" si="128"/>
        <v>0</v>
      </c>
      <c r="CN86" s="66">
        <f t="shared" si="129"/>
        <v>0</v>
      </c>
      <c r="CO86" s="58">
        <f>SUM(BT86:CN86)</f>
        <v>-470.85710124438202</v>
      </c>
      <c r="CP86" s="74"/>
      <c r="CQ86" s="195"/>
    </row>
    <row r="97" spans="3:82" ht="16.5" thickBot="1" x14ac:dyDescent="0.3"/>
    <row r="98" spans="3:82" ht="16.5" thickBot="1" x14ac:dyDescent="0.3">
      <c r="BY98" s="262" t="s">
        <v>100</v>
      </c>
      <c r="BZ98" s="102"/>
      <c r="CA98" s="102"/>
      <c r="CB98" s="102"/>
      <c r="CC98" s="102"/>
      <c r="CD98" s="235"/>
    </row>
    <row r="99" spans="3:82" x14ac:dyDescent="0.25">
      <c r="BY99" s="229" t="s">
        <v>104</v>
      </c>
      <c r="BZ99" s="230"/>
      <c r="CA99" s="227" t="s">
        <v>95</v>
      </c>
      <c r="CB99" s="221" t="s">
        <v>96</v>
      </c>
      <c r="CC99" s="222"/>
      <c r="CD99" s="223"/>
    </row>
    <row r="100" spans="3:82" ht="16.5" thickBot="1" x14ac:dyDescent="0.3">
      <c r="BY100" s="229" t="s">
        <v>105</v>
      </c>
      <c r="BZ100" s="230"/>
      <c r="CA100" s="228" t="s">
        <v>101</v>
      </c>
      <c r="CB100" s="219" t="s">
        <v>97</v>
      </c>
      <c r="CC100" s="220" t="s">
        <v>98</v>
      </c>
      <c r="CD100" s="224"/>
    </row>
    <row r="101" spans="3:82" ht="16.5" thickBot="1" x14ac:dyDescent="0.3">
      <c r="BY101" s="231" t="s">
        <v>106</v>
      </c>
      <c r="BZ101" s="232"/>
      <c r="CA101" s="236" t="s">
        <v>102</v>
      </c>
      <c r="CB101" s="237" t="s">
        <v>102</v>
      </c>
      <c r="CC101" s="238" t="s">
        <v>103</v>
      </c>
      <c r="CD101" s="239" t="s">
        <v>109</v>
      </c>
    </row>
    <row r="102" spans="3:82" ht="16.5" thickBot="1" x14ac:dyDescent="0.3">
      <c r="BY102" s="248" t="s">
        <v>107</v>
      </c>
      <c r="BZ102" s="249"/>
      <c r="CA102" s="214" t="s">
        <v>99</v>
      </c>
      <c r="CB102" s="247" t="s">
        <v>99</v>
      </c>
      <c r="CC102" s="225" t="s">
        <v>73</v>
      </c>
      <c r="CD102" s="226" t="s">
        <v>73</v>
      </c>
    </row>
    <row r="103" spans="3:82" x14ac:dyDescent="0.25">
      <c r="BY103" s="243" t="s">
        <v>108</v>
      </c>
      <c r="BZ103" s="244"/>
      <c r="CA103" s="213" t="s">
        <v>99</v>
      </c>
      <c r="CB103" s="196" t="s">
        <v>99</v>
      </c>
      <c r="CC103" s="258" t="s">
        <v>111</v>
      </c>
      <c r="CD103" s="260" t="s">
        <v>112</v>
      </c>
    </row>
    <row r="104" spans="3:82" ht="16.5" thickBot="1" x14ac:dyDescent="0.3">
      <c r="BY104" s="245"/>
      <c r="BZ104" s="246"/>
      <c r="CA104" s="242"/>
      <c r="CB104" s="197"/>
      <c r="CC104" s="259"/>
      <c r="CD104" s="261"/>
    </row>
    <row r="105" spans="3:82" x14ac:dyDescent="0.25">
      <c r="BZ105" s="101"/>
    </row>
    <row r="106" spans="3:82" ht="16.5" thickBot="1" x14ac:dyDescent="0.3">
      <c r="BZ106" s="101"/>
    </row>
    <row r="107" spans="3:82" x14ac:dyDescent="0.25">
      <c r="C107" s="28" t="s">
        <v>47</v>
      </c>
      <c r="D107" s="28"/>
      <c r="E107" s="28"/>
      <c r="F107" s="28"/>
      <c r="G107" s="28"/>
      <c r="H107" s="28"/>
      <c r="I107" s="28"/>
      <c r="J107" s="28"/>
      <c r="K107" s="28"/>
      <c r="L107" s="28"/>
      <c r="BY107" s="233" t="s">
        <v>104</v>
      </c>
      <c r="BZ107" s="234"/>
      <c r="CA107" s="215" t="s">
        <v>95</v>
      </c>
      <c r="CB107" s="216" t="s">
        <v>96</v>
      </c>
      <c r="CC107" s="217"/>
    </row>
    <row r="108" spans="3:82" ht="16.5" thickBot="1" x14ac:dyDescent="0.3">
      <c r="C108" s="23" t="s">
        <v>8</v>
      </c>
      <c r="D108" s="24"/>
      <c r="BY108" s="229" t="s">
        <v>105</v>
      </c>
      <c r="BZ108" s="230"/>
      <c r="CA108" s="218" t="s">
        <v>101</v>
      </c>
      <c r="CB108" s="250" t="s">
        <v>97</v>
      </c>
      <c r="CC108" s="251" t="s">
        <v>98</v>
      </c>
    </row>
    <row r="109" spans="3:82" ht="16.5" thickBot="1" x14ac:dyDescent="0.3">
      <c r="C109" s="17" t="s">
        <v>9</v>
      </c>
      <c r="D109" s="19">
        <v>-10000</v>
      </c>
      <c r="BY109" s="248" t="s">
        <v>107</v>
      </c>
      <c r="BZ109" s="256"/>
      <c r="CA109" s="257" t="s">
        <v>99</v>
      </c>
      <c r="CB109" s="252" t="s">
        <v>99</v>
      </c>
      <c r="CC109" s="253" t="s">
        <v>73</v>
      </c>
    </row>
    <row r="110" spans="3:82" x14ac:dyDescent="0.25">
      <c r="C110" s="17" t="s">
        <v>10</v>
      </c>
      <c r="D110" s="18">
        <v>10</v>
      </c>
      <c r="BY110" s="243" t="s">
        <v>108</v>
      </c>
      <c r="BZ110" s="240"/>
      <c r="CA110" s="196" t="s">
        <v>99</v>
      </c>
      <c r="CB110" s="213" t="s">
        <v>99</v>
      </c>
      <c r="CC110" s="254" t="s">
        <v>110</v>
      </c>
    </row>
    <row r="111" spans="3:82" ht="16.5" thickBot="1" x14ac:dyDescent="0.3">
      <c r="C111" s="17" t="s">
        <v>11</v>
      </c>
      <c r="D111" s="18">
        <v>0.999</v>
      </c>
      <c r="BY111" s="245"/>
      <c r="BZ111" s="241"/>
      <c r="CA111" s="197"/>
      <c r="CB111" s="242"/>
      <c r="CC111" s="255"/>
    </row>
    <row r="112" spans="3:82" x14ac:dyDescent="0.25">
      <c r="C112" s="17" t="s">
        <v>12</v>
      </c>
      <c r="D112" s="18">
        <f>D2</f>
        <v>1</v>
      </c>
    </row>
    <row r="113" spans="3:4" x14ac:dyDescent="0.25">
      <c r="C113" s="17" t="s">
        <v>13</v>
      </c>
      <c r="D113" s="18" t="s">
        <v>20</v>
      </c>
    </row>
    <row r="114" spans="3:4" x14ac:dyDescent="0.25">
      <c r="C114" s="17" t="s">
        <v>15</v>
      </c>
      <c r="D114" s="18" t="s">
        <v>21</v>
      </c>
    </row>
    <row r="115" spans="3:4" x14ac:dyDescent="0.25">
      <c r="C115" s="17" t="s">
        <v>17</v>
      </c>
      <c r="D115" s="18" t="b">
        <v>1</v>
      </c>
    </row>
    <row r="116" spans="3:4" x14ac:dyDescent="0.25">
      <c r="C116" s="17" t="s">
        <v>18</v>
      </c>
      <c r="D116" s="18" t="s">
        <v>22</v>
      </c>
    </row>
    <row r="117" spans="3:4" x14ac:dyDescent="0.25">
      <c r="C117" s="17" t="s">
        <v>19</v>
      </c>
      <c r="D117" s="18" t="b">
        <v>0</v>
      </c>
    </row>
    <row r="118" spans="3:4" x14ac:dyDescent="0.25">
      <c r="C118" s="17" t="s">
        <v>42</v>
      </c>
      <c r="D118" s="18">
        <v>5</v>
      </c>
    </row>
    <row r="120" spans="3:4" ht="16.5" thickBot="1" x14ac:dyDescent="0.3">
      <c r="C120" s="25" t="s">
        <v>6</v>
      </c>
      <c r="D120" s="26"/>
    </row>
    <row r="121" spans="3:4" x14ac:dyDescent="0.25">
      <c r="C121" s="20" t="s">
        <v>9</v>
      </c>
      <c r="D121" s="21">
        <v>-100</v>
      </c>
    </row>
    <row r="122" spans="3:4" x14ac:dyDescent="0.25">
      <c r="C122" s="17" t="s">
        <v>10</v>
      </c>
      <c r="D122" s="18">
        <v>10</v>
      </c>
    </row>
    <row r="123" spans="3:4" x14ac:dyDescent="0.25">
      <c r="C123" s="17" t="s">
        <v>11</v>
      </c>
      <c r="D123" s="18">
        <v>0.999</v>
      </c>
    </row>
    <row r="124" spans="3:4" x14ac:dyDescent="0.25">
      <c r="C124" s="17" t="s">
        <v>12</v>
      </c>
      <c r="D124" s="18">
        <f>D112</f>
        <v>1</v>
      </c>
    </row>
    <row r="125" spans="3:4" x14ac:dyDescent="0.25">
      <c r="C125" s="17" t="s">
        <v>13</v>
      </c>
      <c r="D125" s="18" t="s">
        <v>14</v>
      </c>
    </row>
    <row r="126" spans="3:4" x14ac:dyDescent="0.25">
      <c r="C126" s="17" t="s">
        <v>15</v>
      </c>
      <c r="D126" s="18" t="s">
        <v>16</v>
      </c>
    </row>
    <row r="127" spans="3:4" x14ac:dyDescent="0.25">
      <c r="C127" s="17" t="s">
        <v>17</v>
      </c>
      <c r="D127" s="18" t="b">
        <v>0</v>
      </c>
    </row>
    <row r="128" spans="3:4" x14ac:dyDescent="0.25">
      <c r="C128" s="17" t="s">
        <v>18</v>
      </c>
      <c r="D128" s="18" t="s">
        <v>22</v>
      </c>
    </row>
    <row r="129" spans="3:4" x14ac:dyDescent="0.25">
      <c r="C129" s="17" t="s">
        <v>19</v>
      </c>
      <c r="D129" s="18" t="b">
        <v>0</v>
      </c>
    </row>
    <row r="131" spans="3:4" ht="16.5" thickBot="1" x14ac:dyDescent="0.3">
      <c r="C131" s="25" t="s">
        <v>7</v>
      </c>
      <c r="D131" s="26"/>
    </row>
    <row r="132" spans="3:4" x14ac:dyDescent="0.25">
      <c r="C132" s="20" t="s">
        <v>9</v>
      </c>
      <c r="D132" s="21">
        <v>-1</v>
      </c>
    </row>
    <row r="133" spans="3:4" x14ac:dyDescent="0.25">
      <c r="C133" s="17" t="s">
        <v>10</v>
      </c>
      <c r="D133" s="18">
        <v>1</v>
      </c>
    </row>
    <row r="134" spans="3:4" x14ac:dyDescent="0.25">
      <c r="C134" s="17" t="s">
        <v>11</v>
      </c>
      <c r="D134" s="18">
        <v>1</v>
      </c>
    </row>
    <row r="135" spans="3:4" x14ac:dyDescent="0.25">
      <c r="C135" s="17" t="s">
        <v>12</v>
      </c>
      <c r="D135" s="18">
        <v>1</v>
      </c>
    </row>
    <row r="136" spans="3:4" x14ac:dyDescent="0.25">
      <c r="C136" s="17" t="s">
        <v>13</v>
      </c>
      <c r="D136" s="18" t="s">
        <v>14</v>
      </c>
    </row>
    <row r="137" spans="3:4" x14ac:dyDescent="0.25">
      <c r="C137" s="17" t="s">
        <v>15</v>
      </c>
      <c r="D137" s="18" t="s">
        <v>21</v>
      </c>
    </row>
    <row r="138" spans="3:4" x14ac:dyDescent="0.25">
      <c r="C138" s="17" t="s">
        <v>17</v>
      </c>
      <c r="D138" s="18" t="b">
        <v>1</v>
      </c>
    </row>
    <row r="139" spans="3:4" x14ac:dyDescent="0.25">
      <c r="C139" s="17" t="s">
        <v>18</v>
      </c>
      <c r="D139" s="18" t="s">
        <v>22</v>
      </c>
    </row>
    <row r="140" spans="3:4" x14ac:dyDescent="0.25">
      <c r="C140" s="17" t="s">
        <v>19</v>
      </c>
      <c r="D140" s="18" t="b">
        <v>0</v>
      </c>
    </row>
    <row r="142" spans="3:4" ht="16.5" thickBot="1" x14ac:dyDescent="0.3">
      <c r="C142" s="25" t="s">
        <v>30</v>
      </c>
      <c r="D142" s="26"/>
    </row>
    <row r="143" spans="3:4" x14ac:dyDescent="0.25">
      <c r="C143" s="20" t="s">
        <v>9</v>
      </c>
      <c r="D143" s="21">
        <f>10 * -3.14</f>
        <v>-31.400000000000002</v>
      </c>
    </row>
    <row r="144" spans="3:4" x14ac:dyDescent="0.25">
      <c r="C144" s="17" t="s">
        <v>10</v>
      </c>
      <c r="D144" s="18" t="s">
        <v>21</v>
      </c>
    </row>
    <row r="145" spans="3:4" x14ac:dyDescent="0.25">
      <c r="C145" s="17" t="s">
        <v>11</v>
      </c>
      <c r="D145" s="18">
        <v>1</v>
      </c>
    </row>
    <row r="146" spans="3:4" x14ac:dyDescent="0.25">
      <c r="C146" s="17" t="s">
        <v>12</v>
      </c>
      <c r="D146" s="18">
        <v>-1</v>
      </c>
    </row>
    <row r="147" spans="3:4" x14ac:dyDescent="0.25">
      <c r="C147" s="17" t="s">
        <v>13</v>
      </c>
      <c r="D147" s="18" t="s">
        <v>14</v>
      </c>
    </row>
    <row r="148" spans="3:4" x14ac:dyDescent="0.25">
      <c r="C148" s="17" t="s">
        <v>15</v>
      </c>
      <c r="D148" s="18" t="s">
        <v>21</v>
      </c>
    </row>
    <row r="149" spans="3:4" x14ac:dyDescent="0.25">
      <c r="C149" s="17" t="s">
        <v>17</v>
      </c>
      <c r="D149" s="18" t="b">
        <v>0</v>
      </c>
    </row>
    <row r="150" spans="3:4" x14ac:dyDescent="0.25">
      <c r="C150" s="17" t="s">
        <v>18</v>
      </c>
      <c r="D150" s="18" t="s">
        <v>22</v>
      </c>
    </row>
    <row r="151" spans="3:4" x14ac:dyDescent="0.25">
      <c r="C151" s="17" t="s">
        <v>19</v>
      </c>
      <c r="D151" s="18" t="b">
        <v>0</v>
      </c>
    </row>
  </sheetData>
  <mergeCells count="133">
    <mergeCell ref="CD103:CD104"/>
    <mergeCell ref="BY110:BZ111"/>
    <mergeCell ref="CA110:CA111"/>
    <mergeCell ref="CB110:CB111"/>
    <mergeCell ref="CC110:CC111"/>
    <mergeCell ref="BY98:CD98"/>
    <mergeCell ref="BY109:BZ109"/>
    <mergeCell ref="BY103:BZ104"/>
    <mergeCell ref="CA103:CA104"/>
    <mergeCell ref="CB103:CB104"/>
    <mergeCell ref="CC103:CC104"/>
    <mergeCell ref="BY100:BZ100"/>
    <mergeCell ref="BY101:BZ101"/>
    <mergeCell ref="BY102:BZ102"/>
    <mergeCell ref="BY107:BZ107"/>
    <mergeCell ref="BY108:BZ108"/>
    <mergeCell ref="BQ65:BQ68"/>
    <mergeCell ref="BQ69:BQ72"/>
    <mergeCell ref="CB107:CC107"/>
    <mergeCell ref="CC100:CD100"/>
    <mergeCell ref="CB99:CD99"/>
    <mergeCell ref="BY99:BZ99"/>
    <mergeCell ref="BQ77:BQ81"/>
    <mergeCell ref="CQ77:CQ86"/>
    <mergeCell ref="CP78:CP81"/>
    <mergeCell ref="BQ82:BQ86"/>
    <mergeCell ref="CP83:CP86"/>
    <mergeCell ref="BR84:BS84"/>
    <mergeCell ref="BR85:BS85"/>
    <mergeCell ref="BR86:BS86"/>
    <mergeCell ref="BR79:BS79"/>
    <mergeCell ref="BR80:BS80"/>
    <mergeCell ref="BR81:BS81"/>
    <mergeCell ref="BR82:BS82"/>
    <mergeCell ref="BR83:BS83"/>
    <mergeCell ref="BR74:BS74"/>
    <mergeCell ref="BR75:BS75"/>
    <mergeCell ref="BR76:BS76"/>
    <mergeCell ref="BR77:BS77"/>
    <mergeCell ref="BR78:BS78"/>
    <mergeCell ref="BR20:BS20"/>
    <mergeCell ref="BR21:BS21"/>
    <mergeCell ref="BQ18:BQ19"/>
    <mergeCell ref="BQ20:BQ21"/>
    <mergeCell ref="BR62:CQ63"/>
    <mergeCell ref="BR15:BS15"/>
    <mergeCell ref="BR16:BS16"/>
    <mergeCell ref="BR17:BS17"/>
    <mergeCell ref="BR18:BS18"/>
    <mergeCell ref="BR19:BS19"/>
    <mergeCell ref="AJ33:BI34"/>
    <mergeCell ref="AJ46:AK46"/>
    <mergeCell ref="AJ47:AK47"/>
    <mergeCell ref="BR33:CQ34"/>
    <mergeCell ref="BR46:BS46"/>
    <mergeCell ref="BR47:BS47"/>
    <mergeCell ref="C45:D45"/>
    <mergeCell ref="C46:D46"/>
    <mergeCell ref="C47:D47"/>
    <mergeCell ref="C19:D19"/>
    <mergeCell ref="AJ45:AK45"/>
    <mergeCell ref="BR45:BS45"/>
    <mergeCell ref="AB48:AB57"/>
    <mergeCell ref="AI48:AI52"/>
    <mergeCell ref="AJ48:AK48"/>
    <mergeCell ref="BI48:BI57"/>
    <mergeCell ref="BQ48:BQ52"/>
    <mergeCell ref="BR48:BS48"/>
    <mergeCell ref="CP54:CP57"/>
    <mergeCell ref="AJ55:AK55"/>
    <mergeCell ref="BR55:BS55"/>
    <mergeCell ref="AJ56:AK56"/>
    <mergeCell ref="BR56:BS56"/>
    <mergeCell ref="AJ57:AK57"/>
    <mergeCell ref="BR57:BS57"/>
    <mergeCell ref="BR52:BS52"/>
    <mergeCell ref="AI53:AI57"/>
    <mergeCell ref="AJ53:AK53"/>
    <mergeCell ref="BQ53:BQ57"/>
    <mergeCell ref="BR53:BS53"/>
    <mergeCell ref="AJ54:AK54"/>
    <mergeCell ref="BH54:BH57"/>
    <mergeCell ref="BR54:BS54"/>
    <mergeCell ref="CQ48:CQ57"/>
    <mergeCell ref="AJ49:AK49"/>
    <mergeCell ref="BH49:BH52"/>
    <mergeCell ref="BR49:BS49"/>
    <mergeCell ref="CP49:CP52"/>
    <mergeCell ref="AJ50:AK50"/>
    <mergeCell ref="BR50:BS50"/>
    <mergeCell ref="AJ51:AK51"/>
    <mergeCell ref="BR51:BS51"/>
    <mergeCell ref="AJ52:AK52"/>
    <mergeCell ref="AB20:AB29"/>
    <mergeCell ref="C33:AB34"/>
    <mergeCell ref="C51:D51"/>
    <mergeCell ref="C52:D52"/>
    <mergeCell ref="B53:B57"/>
    <mergeCell ref="C53:D53"/>
    <mergeCell ref="C54:D54"/>
    <mergeCell ref="AA54:AA57"/>
    <mergeCell ref="C55:D55"/>
    <mergeCell ref="C56:D56"/>
    <mergeCell ref="C57:D57"/>
    <mergeCell ref="B48:B52"/>
    <mergeCell ref="C48:D48"/>
    <mergeCell ref="C49:D49"/>
    <mergeCell ref="AA49:AA52"/>
    <mergeCell ref="C50:D50"/>
    <mergeCell ref="C29:D29"/>
    <mergeCell ref="B20:B24"/>
    <mergeCell ref="B25:B29"/>
    <mergeCell ref="AA21:AA24"/>
    <mergeCell ref="AA26:AA29"/>
    <mergeCell ref="C15:D15"/>
    <mergeCell ref="Z15:AA18"/>
    <mergeCell ref="C107:L107"/>
    <mergeCell ref="C16:D16"/>
    <mergeCell ref="C17:D17"/>
    <mergeCell ref="C18:D18"/>
    <mergeCell ref="C20:D20"/>
    <mergeCell ref="C21:D21"/>
    <mergeCell ref="C22:D22"/>
    <mergeCell ref="C23:D23"/>
    <mergeCell ref="C24:D24"/>
    <mergeCell ref="C25:D25"/>
    <mergeCell ref="C108:D108"/>
    <mergeCell ref="C120:D120"/>
    <mergeCell ref="C131:D131"/>
    <mergeCell ref="C142:D142"/>
    <mergeCell ref="C26:D26"/>
    <mergeCell ref="C27:D27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SweepValue1</vt:lpstr>
      <vt:lpstr>SweepValue2</vt:lpstr>
      <vt:lpstr>ProjectCashflows</vt:lpstr>
      <vt:lpstr>ProjectCashflows - Depreciate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 Jose Soto Gonzalez</cp:lastModifiedBy>
  <dcterms:created xsi:type="dcterms:W3CDTF">2022-04-06T16:09:02Z</dcterms:created>
  <dcterms:modified xsi:type="dcterms:W3CDTF">2025-04-30T21:14:59Z</dcterms:modified>
</cp:coreProperties>
</file>